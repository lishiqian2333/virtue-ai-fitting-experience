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工作量估算和报价" sheetId="1" r:id="rId1"/>
    <sheet name="资源配置推荐及报价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<sst xmlns="http://schemas.openxmlformats.org/spreadsheetml/2006/main" count="230" uniqueCount="210">
  <si>
    <t>AI智能试衣项目-软件开发及模型训练工作量估算和报价</t>
  </si>
  <si>
    <t>序号</t>
  </si>
  <si>
    <t>大类</t>
  </si>
  <si>
    <t>小类</t>
  </si>
  <si>
    <t>描述</t>
  </si>
  <si>
    <t>验收标准</t>
  </si>
  <si>
    <t>工作量(人天)</t>
  </si>
  <si>
    <t>工作量小计(人天)</t>
  </si>
  <si>
    <t>需求分析</t>
  </si>
  <si>
    <t>业务调研</t>
  </si>
  <si>
    <t>梳理门店顾客、导购和运营人员的使用场景、体验流程及数据边界</t>
  </si>
  <si>
    <t>输出调研记录和角色/场景清单</t>
  </si>
  <si>
    <t>需求与验收</t>
  </si>
  <si>
    <t>将现有 POC 整理为正式功能清单、优先级和验收标准</t>
  </si>
  <si>
    <t>双方确认需求边界、验收标准和变更机制</t>
  </si>
  <si>
    <t>技术方案</t>
  </si>
  <si>
    <t>确认大屏、后台、AI 工作流、存储和部署方案</t>
  </si>
  <si>
    <t>输出可实施的技术方案和交付计划</t>
  </si>
  <si>
    <t>系统设计</t>
  </si>
  <si>
    <t>架构设计</t>
  </si>
  <si>
    <t>设计门店端、服务端、管理端、AI 推理服务及存储的整体架构</t>
  </si>
  <si>
    <t>模块边界、调用关系和部署拓扑完整</t>
  </si>
  <si>
    <t>业务与数据流程</t>
  </si>
  <si>
    <t>设计选衣、收藏、图片生成、视频生成、扫码下载和异常回退流程</t>
  </si>
  <si>
    <t>核心流程、状态及异常分支可追踪</t>
  </si>
  <si>
    <t>交互与 UI 定稿</t>
  </si>
  <si>
    <t>基于现有概念页和三场景 POC 完成生产版交互、状态和视觉适配</t>
  </si>
  <si>
    <t>关键页面、交互状态和设计规范通过评审</t>
  </si>
  <si>
    <t>数据库与接口</t>
  </si>
  <si>
    <t>设计商品、素材、会话、任务、结果、设备和日志数据结构及 API</t>
  </si>
  <si>
    <t>数据字典和接口文档完整、可联调</t>
  </si>
  <si>
    <t>门店大屏端</t>
  </si>
  <si>
    <t>方案介绍页</t>
  </si>
  <si>
    <t>实现方案介绍、硬件展示、产品概念和体验入口</t>
  </si>
  <si>
    <t>1920×1080 大屏下内容完整、入口可用</t>
  </si>
  <si>
    <t>场景一：AI 选衣</t>
  </si>
  <si>
    <t>商品浏览、360° 拖拽、衣架切换、商品信息、AI 建议、收藏和试穿间托盘</t>
  </si>
  <si>
    <t>6 款以上商品可配置；收藏状态和操作反馈正确</t>
  </si>
  <si>
    <t>场景二：换装照片</t>
  </si>
  <si>
    <t>收藏款轮播、四角度照片、尺码匹配、身材评分、雷达对比和造型建议rong'he</t>
  </si>
  <si>
    <t>仅展示收藏款；角度、评分和建议数据正确</t>
  </si>
  <si>
    <t>场景三：动态视频</t>
  </si>
  <si>
    <t>选定款视频展示、五类场景切换、循环播放、水印及扫码下载入口</t>
  </si>
  <si>
    <t>视频播放稳定；场景和所选款一致；二维码可用</t>
  </si>
  <si>
    <t>跨页状态与流程</t>
  </si>
  <si>
    <t>保持收藏、选款、视角和场景状态，处理返回、空状态、生成中和失败状态</t>
  </si>
  <si>
    <t>三场景完整走通，返回后状态不丢失</t>
  </si>
  <si>
    <t>Kiosk 与性能适配</t>
  </si>
  <si>
    <t>全屏启动、资源预加载、断网提示、动画性能、分辨率适配及长时间运行优化</t>
  </si>
  <si>
    <t>目标设备连续运行稳定，无明显卡顿和内存异常</t>
  </si>
  <si>
    <t>后台服务</t>
  </si>
  <si>
    <t>会话与隐私授权</t>
  </si>
  <si>
    <t>建立门店匿名会话、用户授权/告知、数据有效期和清理机制</t>
  </si>
  <si>
    <t>会话隔离正确，用户数据按规则清理</t>
  </si>
  <si>
    <t>商品与 SKU 服务</t>
  </si>
  <si>
    <t>商品、颜色、尺码、材质、价格、库存状态和试穿素材接口</t>
  </si>
  <si>
    <t>门店端可按配置读取并切换真实商品</t>
  </si>
  <si>
    <t>素材与媒体服务</t>
  </si>
  <si>
    <t>管理服装图、顾客图、换装结果、视频、缩略图和版本信息</t>
  </si>
  <si>
    <t>上传、读取、归档和权限控制正常</t>
  </si>
  <si>
    <t>AI 任务编排</t>
  </si>
  <si>
    <t>接收生成请求，编排图片/视频任务，维护排队、进度、超时和结果状态</t>
  </si>
  <si>
    <t>任务状态可查询，重复提交和异常可控</t>
  </si>
  <si>
    <t>结果存储与二维码</t>
  </si>
  <si>
    <t>结果文件存储、有效期下载短链和真实二维码生成</t>
  </si>
  <si>
    <t>手机扫码可在有效期内查看或下载对应结果</t>
  </si>
  <si>
    <t>设备、配置与日志</t>
  </si>
  <si>
    <t>门店设备标识、远程参数、心跳、操作日志和错误日志</t>
  </si>
  <si>
    <t>可定位设备、任务和错误，关键配置可追溯</t>
  </si>
  <si>
    <t>API 与实时进度</t>
  </si>
  <si>
    <t>提供 HTTP/WebSocket 接口，向大屏推送生成进度和结果</t>
  </si>
  <si>
    <t>接口鉴权、错误码和实时进度符合文档</t>
  </si>
  <si>
    <t>AI 工作流</t>
  </si>
  <si>
    <t>服装素材预处理</t>
  </si>
  <si>
    <t>挂拍图抠图、尺寸规范、透明背景、质量检查和批处理</t>
  </si>
  <si>
    <t>合格素材可稳定进入后续换装流程</t>
  </si>
  <si>
    <t>顾客采集预处理</t>
  </si>
  <si>
    <t>顾客图像接入、裁切、方向/背景检查和不合格提示</t>
  </si>
  <si>
    <t>输入质量规则明确，异常输入可拦截</t>
  </si>
  <si>
    <t>图片换装接入</t>
  </si>
  <si>
    <t>接入 Qwen-Image-Edit/ComfyUI 图片换装流程，生成所选款固定四角度结果</t>
  </si>
  <si>
    <t>结果与顾客、所选 SKU 和角度对应，可回传进度</t>
  </si>
  <si>
    <t>视频生成接入</t>
  </si>
  <si>
    <t>接入 Wan 2.2 I2V 流程，生成所选款户外动态视频并转码</t>
  </si>
  <si>
    <t>视频格式可播放，任务状态和结果可回传</t>
  </si>
  <si>
    <t>队列与异常恢复</t>
  </si>
  <si>
    <t>GPU 任务队列、并发控制、超时、重试、取消和降级结果</t>
  </si>
  <si>
    <t>高峰请求不丢任务，失败原因可查询和重试</t>
  </si>
  <si>
    <t>参数与质量基线</t>
  </si>
  <si>
    <t>固化提示词、工作流版本、输出规格和人工抽检规则</t>
  </si>
  <si>
    <t>同类输入输出稳定，版本和参数可追溯</t>
  </si>
  <si>
    <t>管理后台</t>
  </si>
  <si>
    <t>登录与权限</t>
  </si>
  <si>
    <t>管理员登录、角色和菜单/接口权限</t>
  </si>
  <si>
    <t>未授权操作被拦截，权限配置生效</t>
  </si>
  <si>
    <t>商品与素材管理</t>
  </si>
  <si>
    <t>商品/SKU 增删改查、上下架、素材上传和排序</t>
  </si>
  <si>
    <t>修改后门店端按规则同步显示</t>
  </si>
  <si>
    <t>会话、任务与结果</t>
  </si>
  <si>
    <t>查询门店会话、生成任务、进度、结果和失败详情</t>
  </si>
  <si>
    <t>可按门店、时间、状态检索并查看详情</t>
  </si>
  <si>
    <t>设备与系统配置</t>
  </si>
  <si>
    <t>门店设备、场景、有效期、并发和功能开关配置</t>
  </si>
  <si>
    <t>配置保存后生效且有操作记录</t>
  </si>
  <si>
    <t>数据统计与日志</t>
  </si>
  <si>
    <t>展示使用量、成功率、平均耗时和错误日志</t>
  </si>
  <si>
    <t>统计口径明确，数据可筛选和导出</t>
  </si>
  <si>
    <t>展示内容配置</t>
  </si>
  <si>
    <t>介绍页文案、场景名称、水印等基础内容配置</t>
  </si>
  <si>
    <t>配置内容可正常发布至门店端</t>
  </si>
  <si>
    <t>系统测试</t>
  </si>
  <si>
    <t>功能与回归测试</t>
  </si>
  <si>
    <t>覆盖三场景、后台、管理端和异常流程</t>
  </si>
  <si>
    <t>核心用例通过，无阻断级缺陷</t>
  </si>
  <si>
    <t>AI 输出验收</t>
  </si>
  <si>
    <t>按样本集检查人物一致性、服装一致性、角度和视频可用性</t>
  </si>
  <si>
    <t>达到双方确认的样本通过率和失败回退标准</t>
  </si>
  <si>
    <t>性能与稳定性</t>
  </si>
  <si>
    <t>测试任务并发、接口响应、资源加载和长时间运行</t>
  </si>
  <si>
    <t>达到确认的并发、时延和稳定性指标</t>
  </si>
  <si>
    <t>设备与兼容性</t>
  </si>
  <si>
    <t>在目标大屏、Chrome Kiosk 和目标分辨率验证</t>
  </si>
  <si>
    <t>目标设备完整走通主流程</t>
  </si>
  <si>
    <t>安全与隐私</t>
  </si>
  <si>
    <t>校验鉴权、下载链接、敏感数据、日志和清理策略</t>
  </si>
  <si>
    <t>无高危漏洞，隐私数据处理符合约定</t>
  </si>
  <si>
    <t>系统部署</t>
  </si>
  <si>
    <t>环境与依赖</t>
  </si>
  <si>
    <t>配置应用、数据库、对象存储、AI 服务和 GPU 运行依赖</t>
  </si>
  <si>
    <t>测试/生产环境可重复部署</t>
  </si>
  <si>
    <t>发布与网络</t>
  </si>
  <si>
    <t>服务发布、HTTPS、反向代理、内外网访问和门店端启动配置</t>
  </si>
  <si>
    <t>生产环境主流程可用，门店端可自动启动</t>
  </si>
  <si>
    <t>监控与备份</t>
  </si>
  <si>
    <t>基础监控、告警、日志留存、数据库及配置备份</t>
  </si>
  <si>
    <t>告警可达，备份及恢复流程验证通过</t>
  </si>
  <si>
    <t>培训与交付</t>
  </si>
  <si>
    <t>管理后台培训、部署说明和操作手册</t>
  </si>
  <si>
    <t>文档齐全，指定人员可独立完成基础操作</t>
  </si>
  <si>
    <t>项目管理与验收</t>
  </si>
  <si>
    <t>进度与变更管理</t>
  </si>
  <si>
    <t>周期计划、例会、风险跟踪、范围和变更记录</t>
  </si>
  <si>
    <t>进度、问题及变更可追踪</t>
  </si>
  <si>
    <t>联调与最终验收</t>
  </si>
  <si>
    <t>联调支持、验收问题修复、交付清单和最终验收</t>
  </si>
  <si>
    <t>约定范围完成并通过最终验收</t>
  </si>
  <si>
    <t>模型训练与调优</t>
  </si>
  <si>
    <t>数据方案与合规</t>
  </si>
  <si>
    <t>制定样本结构、采集规范、授权文本、脱敏和保存策略</t>
  </si>
  <si>
    <t>数据范围、授权和清理规则通过评审</t>
  </si>
  <si>
    <t>数据清洗与标注工具</t>
  </si>
  <si>
    <t>实现去重、质量筛选、服装/人体属性及失败原因标注流程</t>
  </si>
  <si>
    <t>样本可批量处理，标注结果可追溯</t>
  </si>
  <si>
    <t>图片模型轻量微调</t>
  </si>
  <si>
    <t>完成 Qwen-Image-Edit 的 LoRA/适配器实验、训练和参数选择</t>
  </si>
  <si>
    <t>冻结样本集上的人物与服装一致性达到约定标准</t>
  </si>
  <si>
    <t>视频工作流专项调优</t>
  </si>
  <si>
    <t>优化 Wan 2.2 提示词、参考图、时长、分辨率、转码和失败回退</t>
  </si>
  <si>
    <t>目标场景视频可生成、播放并支持失败回退</t>
  </si>
  <si>
    <t>评测与验收集</t>
  </si>
  <si>
    <t>建立人物一致性、服装一致性、细节、可用率和人工评分基准</t>
  </si>
  <si>
    <t>形成固定样本集、评分表和验收报告</t>
  </si>
  <si>
    <t>版本管理与交付</t>
  </si>
  <si>
    <t>归档模型、适配器、提示词和工作流版本并编写部署说明</t>
  </si>
  <si>
    <t>版本可复现、可回滚并完成交付</t>
  </si>
  <si>
    <t>平均人力单价(元/人天)</t>
  </si>
  <si>
    <t>工作量合计(人天)</t>
  </si>
  <si>
    <t>研发人力价格</t>
  </si>
  <si>
    <t>AI智能试衣项目-硬件、模型数据、云资源及总报价</t>
  </si>
  <si>
    <t>费用类别</t>
  </si>
  <si>
    <t>配置/说明</t>
  </si>
  <si>
    <t>金额(元)</t>
  </si>
  <si>
    <t>周期</t>
  </si>
  <si>
    <t>单店硬件</t>
  </si>
  <si>
    <t>86英寸级4K商用互动大屏</t>
  </si>
  <si>
    <t>一次性</t>
  </si>
  <si>
    <t>门店控制终端：32–64GB内存、1TB SSD、双网口</t>
  </si>
  <si>
    <t>RGB/深度相机套件、支架和线材</t>
  </si>
  <si>
    <t>灯光、背景和基础校色</t>
  </si>
  <si>
    <t>定制试衣仓/外壳、饰面、散热和设备仓</t>
  </si>
  <si>
    <t>网络、布线和UPS</t>
  </si>
  <si>
    <t>运输、安装和现场调试</t>
  </si>
  <si>
    <t>模型数据与训练资源</t>
  </si>
  <si>
    <t>数据采集及合规授权预算池</t>
  </si>
  <si>
    <t>人工标注、双人质检和返修</t>
  </si>
  <si>
    <t>训练GPU、多轮实验和失败重跑</t>
  </si>
  <si>
    <t>云资源及第三方服务</t>
  </si>
  <si>
    <t>应用服务器、数据库和缓存</t>
  </si>
  <si>
    <t>首年</t>
  </si>
  <si>
    <t>云GPU图片/视频推理预算池</t>
  </si>
  <si>
    <t>对象存储、CDN和备份</t>
  </si>
  <si>
    <t>域名、SSL、短信、短链/二维码</t>
  </si>
  <si>
    <t>监控、告警和基础安全服务</t>
  </si>
  <si>
    <t>首年全量报价汇总</t>
  </si>
  <si>
    <t>软件系统开发</t>
  </si>
  <si>
    <t>175人天 × 1,000元/人天</t>
  </si>
  <si>
    <t>模型训练研发人力</t>
  </si>
  <si>
    <t>58人天 × 1,000元/人天</t>
  </si>
  <si>
    <t>模型数据和训练资源</t>
  </si>
  <si>
    <t>数据、标注和训练GPU</t>
  </si>
  <si>
    <t>单店硬件和安装</t>
  </si>
  <si>
    <t>1家门店、1套终端</t>
  </si>
  <si>
    <t>云GPU、存储、短信和监控</t>
  </si>
  <si>
    <t>首年基础报价合计</t>
  </si>
  <si>
    <t>建议风险预备金（10%，按千元取整）</t>
  </si>
  <si>
    <t>预备</t>
  </si>
  <si>
    <t>建议首年预算上限</t>
  </si>
  <si>
    <t>预算</t>
  </si>
  <si>
    <t>第二年起预计运营费</t>
  </si>
  <si>
    <t>每年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</si>
</sst>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11"/>
      <color rgb="FF393939"/>
      <name val="微软雅黑"/>
      <charset val="134"/>
    </font>
    <font>
      <b/>
      <sz val="11"/>
      <color rgb="FF333333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333333"/>
      <name val="微软雅黑"/>
      <charset val="134"/>
    </font>
    <font>
      <b/>
      <sz val="18"/>
      <color theme="1"/>
      <name val="微软雅黑"/>
      <charset val="134"/>
    </font>
    <font>
      <b/>
      <sz val="12"/>
      <color rgb="FF393939"/>
      <name val="微软雅黑"/>
      <charset val="134"/>
    </font>
    <font>
      <sz val="11"/>
      <color rgb="FF393939"/>
      <name val="微软雅黑"/>
      <charset val="134"/>
    </font>
    <font>
      <sz val="10.5"/>
      <color rgb="FF393939"/>
      <name val="Arial"/>
      <charset val="134"/>
    </font>
    <font>
      <b/>
      <sz val="11"/>
      <color theme="1"/>
      <name val="微软雅黑"/>
      <charset val="134"/>
    </font>
    <font>
      <sz val="11"/>
      <color rgb="FF393939"/>
      <name val="微软雅黑"/>
      <charset val="134"/>
    </font>
    <font>
      <sz val="11"/>
      <color theme="1"/>
      <name val="微软雅黑"/>
      <charset val="134"/>
    </font>
    <font>
      <b/>
      <sz val="11"/>
      <color rgb="FF39393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8" borderId="9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12" applyNumberFormat="0" applyAlignment="0" applyProtection="0">
      <alignment vertical="center"/>
    </xf>
    <xf numFmtId="0" fontId="24" fillId="10" borderId="13" applyNumberFormat="0" applyAlignment="0" applyProtection="0">
      <alignment vertical="center"/>
    </xf>
    <xf numFmtId="0" fontId="25" fillId="10" borderId="12" applyNumberFormat="0" applyAlignment="0" applyProtection="0">
      <alignment vertical="center"/>
    </xf>
    <xf numFmtId="0" fontId="26" fillId="11" borderId="14" applyNumberFormat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3" fontId="4" fillId="0" borderId="2" xfId="0" applyNumberFormat="1" applyFont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8" fontId="5" fillId="3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3" fontId="5" fillId="0" borderId="2" xfId="0" applyNumberFormat="1" applyFont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3" fontId="9" fillId="0" borderId="2" xfId="0" applyNumberFormat="1" applyFont="1" applyBorder="1" applyAlignment="1">
      <alignment horizontal="center" vertical="center" wrapText="1"/>
    </xf>
    <xf numFmtId="0" fontId="10" fillId="6" borderId="0" xfId="0" applyFont="1" applyFill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12" fillId="6" borderId="2" xfId="0" applyFont="1" applyFill="1" applyBorder="1" applyAlignment="1">
      <alignment horizontal="left" vertical="center" wrapText="1"/>
    </xf>
    <xf numFmtId="3" fontId="13" fillId="0" borderId="2" xfId="0" applyNumberFormat="1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 wrapText="1"/>
    </xf>
    <xf numFmtId="3" fontId="13" fillId="0" borderId="2" xfId="0" applyNumberFormat="1" applyFont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1" fillId="7" borderId="2" xfId="0" applyFont="1" applyFill="1" applyBorder="1" applyAlignment="1">
      <alignment horizontal="left" vertical="center" wrapText="1"/>
    </xf>
    <xf numFmtId="0" fontId="11" fillId="3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65"/>
  <sheetViews>
    <sheetView zoomScale="85" zoomScaleNormal="85" topLeftCell="A4" workbookViewId="0">
      <selection activeCell="C13" sqref="C13"/>
    </sheetView>
  </sheetViews>
  <sheetFormatPr defaultColWidth="9" defaultRowHeight="13.5" outlineLevelCol="7"/>
  <cols>
    <col min="1" max="1" width="6.25" style="20" customWidth="1"/>
    <col min="2" max="2" width="20.875" customWidth="1"/>
    <col min="3" max="3" width="22.25" customWidth="1"/>
    <col min="4" max="4" width="43.75" customWidth="1"/>
    <col min="5" max="5" width="32.75" customWidth="1"/>
    <col min="6" max="6" width="16.375" style="20" customWidth="1"/>
    <col min="7" max="7" width="18.125" customWidth="1"/>
  </cols>
  <sheetData>
    <row r="1" ht="45" customHeight="1" spans="1:8">
      <c r="A1" s="21" t="s">
        <v>0</v>
      </c>
      <c r="B1" s="22"/>
      <c r="C1" s="22"/>
      <c r="D1" s="22"/>
      <c r="E1" s="22"/>
      <c r="F1" s="22"/>
      <c r="G1" s="23"/>
    </row>
    <row r="2" ht="18" spans="1:8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  <c r="G2" s="24" t="s">
        <v>7</v>
      </c>
    </row>
    <row r="3" ht="44.1" customHeight="1" spans="1:8">
      <c r="A3" s="25">
        <v>1</v>
      </c>
      <c r="B3" s="25" t="s">
        <v>8</v>
      </c>
      <c r="C3" s="26" t="s">
        <v>9</v>
      </c>
      <c r="D3" s="27" t="s">
        <v>10</v>
      </c>
      <c r="E3" s="28" t="s">
        <v>11</v>
      </c>
      <c r="F3" s="7">
        <v>2</v>
      </c>
      <c r="G3" s="29">
        <f>SUM(F3:F5)</f>
        <v>5</v>
      </c>
    </row>
    <row r="4" ht="44.1" customHeight="1" spans="1:8">
      <c r="A4" s="25"/>
      <c r="B4" s="25"/>
      <c r="C4" s="26" t="s">
        <v>12</v>
      </c>
      <c r="D4" s="27" t="s">
        <v>13</v>
      </c>
      <c r="E4" s="28" t="s">
        <v>14</v>
      </c>
      <c r="F4" s="7">
        <v>2</v>
      </c>
      <c r="G4" s="29"/>
      <c r="H4" s="30"/>
    </row>
    <row r="5" ht="44.1" customHeight="1" spans="1:8">
      <c r="A5" s="25"/>
      <c r="B5" s="25"/>
      <c r="C5" s="26" t="s">
        <v>15</v>
      </c>
      <c r="D5" s="27" t="s">
        <v>16</v>
      </c>
      <c r="E5" s="28" t="s">
        <v>17</v>
      </c>
      <c r="F5" s="7">
        <v>1</v>
      </c>
      <c r="G5" s="29"/>
      <c r="H5" s="30"/>
    </row>
    <row r="6" ht="44.1" customHeight="1" spans="1:8">
      <c r="A6" s="25">
        <v>2</v>
      </c>
      <c r="B6" s="25" t="s">
        <v>18</v>
      </c>
      <c r="C6" s="26" t="s">
        <v>19</v>
      </c>
      <c r="D6" s="27" t="s">
        <v>20</v>
      </c>
      <c r="E6" s="28" t="s">
        <v>21</v>
      </c>
      <c r="F6" s="7">
        <v>3</v>
      </c>
      <c r="G6" s="29">
        <f>SUM(F6:F9)</f>
        <v>12</v>
      </c>
      <c r="H6" s="30"/>
    </row>
    <row r="7" ht="44.1" customHeight="1" spans="1:8">
      <c r="A7" s="25"/>
      <c r="B7" s="25"/>
      <c r="C7" s="26" t="s">
        <v>22</v>
      </c>
      <c r="D7" s="27" t="s">
        <v>23</v>
      </c>
      <c r="E7" s="28" t="s">
        <v>24</v>
      </c>
      <c r="F7" s="7">
        <v>2</v>
      </c>
      <c r="G7" s="29"/>
      <c r="H7" s="30"/>
    </row>
    <row r="8" ht="44.1" customHeight="1" spans="1:8">
      <c r="A8" s="25"/>
      <c r="B8" s="25"/>
      <c r="C8" s="26" t="s">
        <v>25</v>
      </c>
      <c r="D8" s="27" t="s">
        <v>26</v>
      </c>
      <c r="E8" s="28" t="s">
        <v>27</v>
      </c>
      <c r="F8" s="7">
        <v>5</v>
      </c>
      <c r="G8" s="29"/>
      <c r="H8" s="30"/>
    </row>
    <row r="9" ht="44.1" customHeight="1" spans="1:8">
      <c r="A9" s="25"/>
      <c r="B9" s="25"/>
      <c r="C9" s="26" t="s">
        <v>28</v>
      </c>
      <c r="D9" s="27" t="s">
        <v>29</v>
      </c>
      <c r="E9" s="28" t="s">
        <v>30</v>
      </c>
      <c r="F9" s="7">
        <v>2</v>
      </c>
      <c r="G9" s="29"/>
      <c r="H9" s="30"/>
    </row>
    <row r="10" ht="44.1" customHeight="1" spans="1:8">
      <c r="A10" s="25">
        <v>3</v>
      </c>
      <c r="B10" s="25" t="s">
        <v>31</v>
      </c>
      <c r="C10" s="26" t="s">
        <v>32</v>
      </c>
      <c r="D10" s="27" t="s">
        <v>33</v>
      </c>
      <c r="E10" s="28" t="s">
        <v>34</v>
      </c>
      <c r="F10" s="7">
        <v>3</v>
      </c>
      <c r="G10" s="29">
        <f>SUM(F10:F15)</f>
        <v>35</v>
      </c>
      <c r="H10" s="30"/>
    </row>
    <row r="11" ht="44.1" customHeight="1" spans="1:8">
      <c r="A11" s="25"/>
      <c r="B11" s="25"/>
      <c r="C11" s="26" t="s">
        <v>35</v>
      </c>
      <c r="D11" s="27" t="s">
        <v>36</v>
      </c>
      <c r="E11" s="27" t="s">
        <v>37</v>
      </c>
      <c r="F11" s="29">
        <v>10</v>
      </c>
      <c r="G11" s="29"/>
    </row>
    <row r="12" ht="44.1" customHeight="1" spans="1:8">
      <c r="A12" s="25"/>
      <c r="B12" s="25"/>
      <c r="C12" s="26" t="s">
        <v>38</v>
      </c>
      <c r="D12" s="27" t="s">
        <v>39</v>
      </c>
      <c r="E12" s="27" t="s">
        <v>40</v>
      </c>
      <c r="F12" s="29">
        <v>8</v>
      </c>
      <c r="G12" s="29"/>
    </row>
    <row r="13" ht="44.1" customHeight="1" spans="1:8">
      <c r="A13" s="25"/>
      <c r="B13" s="25"/>
      <c r="C13" s="26" t="s">
        <v>41</v>
      </c>
      <c r="D13" s="27" t="s">
        <v>42</v>
      </c>
      <c r="E13" s="27" t="s">
        <v>43</v>
      </c>
      <c r="F13" s="29">
        <v>7</v>
      </c>
      <c r="G13" s="29"/>
    </row>
    <row r="14" ht="44.1" customHeight="1" spans="1:8">
      <c r="A14" s="25"/>
      <c r="B14" s="25"/>
      <c r="C14" s="26" t="s">
        <v>44</v>
      </c>
      <c r="D14" s="27" t="s">
        <v>45</v>
      </c>
      <c r="E14" s="27" t="s">
        <v>46</v>
      </c>
      <c r="F14" s="29">
        <v>3</v>
      </c>
      <c r="G14" s="29"/>
    </row>
    <row r="15" ht="44.1" customHeight="1" spans="1:8">
      <c r="A15" s="25"/>
      <c r="B15" s="25"/>
      <c r="C15" s="26" t="s">
        <v>47</v>
      </c>
      <c r="D15" s="27" t="s">
        <v>48</v>
      </c>
      <c r="E15" s="27" t="s">
        <v>49</v>
      </c>
      <c r="F15" s="29">
        <v>4</v>
      </c>
      <c r="G15" s="29"/>
    </row>
    <row r="16" ht="44.1" customHeight="1" spans="1:8">
      <c r="A16" s="14">
        <v>4</v>
      </c>
      <c r="B16" s="14" t="s">
        <v>50</v>
      </c>
      <c r="C16" s="26" t="s">
        <v>51</v>
      </c>
      <c r="D16" s="27" t="s">
        <v>52</v>
      </c>
      <c r="E16" s="27" t="s">
        <v>53</v>
      </c>
      <c r="F16" s="29">
        <v>3</v>
      </c>
      <c r="G16" s="7">
        <f>SUM(F16:F22)</f>
        <v>33</v>
      </c>
    </row>
    <row r="17" ht="44.1" customHeight="1" spans="1:7">
      <c r="A17" s="14"/>
      <c r="B17" s="14"/>
      <c r="C17" s="26" t="s">
        <v>54</v>
      </c>
      <c r="D17" s="27" t="s">
        <v>55</v>
      </c>
      <c r="E17" s="27" t="s">
        <v>56</v>
      </c>
      <c r="F17" s="29">
        <v>5</v>
      </c>
      <c r="G17" s="7"/>
    </row>
    <row r="18" ht="44.1" customHeight="1" spans="1:7">
      <c r="A18" s="14"/>
      <c r="B18" s="14"/>
      <c r="C18" s="26" t="s">
        <v>57</v>
      </c>
      <c r="D18" s="27" t="s">
        <v>58</v>
      </c>
      <c r="E18" s="27" t="s">
        <v>59</v>
      </c>
      <c r="F18" s="29">
        <v>4</v>
      </c>
      <c r="G18" s="7"/>
    </row>
    <row r="19" ht="44.1" customHeight="1" spans="1:7">
      <c r="A19" s="14"/>
      <c r="B19" s="14"/>
      <c r="C19" s="26" t="s">
        <v>60</v>
      </c>
      <c r="D19" s="27" t="s">
        <v>61</v>
      </c>
      <c r="E19" s="27" t="s">
        <v>62</v>
      </c>
      <c r="F19" s="29">
        <v>8</v>
      </c>
      <c r="G19" s="7"/>
    </row>
    <row r="20" ht="44.1" customHeight="1" spans="1:7">
      <c r="A20" s="14"/>
      <c r="B20" s="14"/>
      <c r="C20" s="26" t="s">
        <v>63</v>
      </c>
      <c r="D20" s="27" t="s">
        <v>64</v>
      </c>
      <c r="E20" s="27" t="s">
        <v>65</v>
      </c>
      <c r="F20" s="29">
        <v>5</v>
      </c>
      <c r="G20" s="7"/>
    </row>
    <row r="21" ht="44.1" customHeight="1" spans="1:7">
      <c r="A21" s="14"/>
      <c r="B21" s="14"/>
      <c r="C21" s="26" t="s">
        <v>66</v>
      </c>
      <c r="D21" s="27" t="s">
        <v>67</v>
      </c>
      <c r="E21" s="27" t="s">
        <v>68</v>
      </c>
      <c r="F21" s="29">
        <v>4</v>
      </c>
      <c r="G21" s="7"/>
    </row>
    <row r="22" ht="44.1" customHeight="1" spans="1:7">
      <c r="A22" s="14"/>
      <c r="B22" s="14"/>
      <c r="C22" s="26" t="s">
        <v>69</v>
      </c>
      <c r="D22" s="27" t="s">
        <v>70</v>
      </c>
      <c r="E22" s="27" t="s">
        <v>71</v>
      </c>
      <c r="F22" s="29">
        <v>4</v>
      </c>
      <c r="G22" s="7"/>
    </row>
    <row r="23" ht="44.1" customHeight="1" spans="1:7">
      <c r="A23" s="14">
        <v>5</v>
      </c>
      <c r="B23" s="14" t="s">
        <v>72</v>
      </c>
      <c r="C23" s="26" t="s">
        <v>73</v>
      </c>
      <c r="D23" s="27" t="s">
        <v>74</v>
      </c>
      <c r="E23" s="27" t="s">
        <v>75</v>
      </c>
      <c r="F23" s="29">
        <v>6</v>
      </c>
      <c r="G23" s="7">
        <f>SUM(F23:F28)</f>
        <v>38</v>
      </c>
    </row>
    <row r="24" ht="44.1" customHeight="1" spans="1:7">
      <c r="A24" s="14"/>
      <c r="B24" s="14"/>
      <c r="C24" s="26" t="s">
        <v>76</v>
      </c>
      <c r="D24" s="27" t="s">
        <v>77</v>
      </c>
      <c r="E24" s="27" t="s">
        <v>78</v>
      </c>
      <c r="F24" s="29">
        <v>6</v>
      </c>
      <c r="G24" s="7"/>
    </row>
    <row r="25" ht="44.1" customHeight="1" spans="1:7">
      <c r="A25" s="14"/>
      <c r="B25" s="14"/>
      <c r="C25" s="26" t="s">
        <v>79</v>
      </c>
      <c r="D25" s="27" t="s">
        <v>80</v>
      </c>
      <c r="E25" s="27" t="s">
        <v>81</v>
      </c>
      <c r="F25" s="29">
        <v>9</v>
      </c>
      <c r="G25" s="7"/>
    </row>
    <row r="26" ht="44.1" customHeight="1" spans="1:7">
      <c r="A26" s="14"/>
      <c r="B26" s="14"/>
      <c r="C26" s="26" t="s">
        <v>82</v>
      </c>
      <c r="D26" s="27" t="s">
        <v>83</v>
      </c>
      <c r="E26" s="27" t="s">
        <v>84</v>
      </c>
      <c r="F26" s="29">
        <v>9</v>
      </c>
      <c r="G26" s="7"/>
    </row>
    <row r="27" ht="44.1" customHeight="1" spans="1:7">
      <c r="A27" s="14"/>
      <c r="B27" s="14"/>
      <c r="C27" s="26" t="s">
        <v>85</v>
      </c>
      <c r="D27" s="27" t="s">
        <v>86</v>
      </c>
      <c r="E27" s="27" t="s">
        <v>87</v>
      </c>
      <c r="F27" s="29">
        <v>5</v>
      </c>
      <c r="G27" s="7"/>
    </row>
    <row r="28" ht="44.1" customHeight="1" spans="1:7">
      <c r="A28" s="14"/>
      <c r="B28" s="14"/>
      <c r="C28" s="26" t="s">
        <v>88</v>
      </c>
      <c r="D28" s="27" t="s">
        <v>89</v>
      </c>
      <c r="E28" s="27" t="s">
        <v>90</v>
      </c>
      <c r="F28" s="29">
        <v>3</v>
      </c>
      <c r="G28" s="7"/>
    </row>
    <row r="29" ht="44.1" customHeight="1" spans="1:7">
      <c r="A29" s="14">
        <v>6</v>
      </c>
      <c r="B29" s="14" t="s">
        <v>91</v>
      </c>
      <c r="C29" s="26" t="s">
        <v>92</v>
      </c>
      <c r="D29" s="27" t="s">
        <v>93</v>
      </c>
      <c r="E29" s="27" t="s">
        <v>94</v>
      </c>
      <c r="F29" s="29">
        <v>3</v>
      </c>
      <c r="G29" s="7">
        <f>SUM(F29:F34)</f>
        <v>22</v>
      </c>
    </row>
    <row r="30" ht="44.1" customHeight="1" spans="1:7">
      <c r="A30" s="14"/>
      <c r="B30" s="14"/>
      <c r="C30" s="26" t="s">
        <v>95</v>
      </c>
      <c r="D30" s="27" t="s">
        <v>96</v>
      </c>
      <c r="E30" s="27" t="s">
        <v>97</v>
      </c>
      <c r="F30" s="29">
        <v>5</v>
      </c>
      <c r="G30" s="7"/>
    </row>
    <row r="31" ht="44.1" customHeight="1" spans="1:7">
      <c r="A31" s="14"/>
      <c r="B31" s="14"/>
      <c r="C31" s="26" t="s">
        <v>98</v>
      </c>
      <c r="D31" s="27" t="s">
        <v>99</v>
      </c>
      <c r="E31" s="27" t="s">
        <v>100</v>
      </c>
      <c r="F31" s="29">
        <v>5</v>
      </c>
      <c r="G31" s="7"/>
    </row>
    <row r="32" ht="44.1" customHeight="1" spans="1:7">
      <c r="A32" s="14"/>
      <c r="B32" s="14"/>
      <c r="C32" s="26" t="s">
        <v>101</v>
      </c>
      <c r="D32" s="27" t="s">
        <v>102</v>
      </c>
      <c r="E32" s="27" t="s">
        <v>103</v>
      </c>
      <c r="F32" s="29">
        <v>4</v>
      </c>
      <c r="G32" s="7"/>
    </row>
    <row r="33" ht="44.1" customHeight="1" spans="1:7">
      <c r="A33" s="14"/>
      <c r="B33" s="14"/>
      <c r="C33" s="26" t="s">
        <v>104</v>
      </c>
      <c r="D33" s="27" t="s">
        <v>105</v>
      </c>
      <c r="E33" s="27" t="s">
        <v>106</v>
      </c>
      <c r="F33" s="29">
        <v>3</v>
      </c>
      <c r="G33" s="7"/>
    </row>
    <row r="34" ht="44.1" customHeight="1" spans="1:7">
      <c r="A34" s="14"/>
      <c r="B34" s="14"/>
      <c r="C34" s="26" t="s">
        <v>107</v>
      </c>
      <c r="D34" s="27" t="s">
        <v>108</v>
      </c>
      <c r="E34" s="27" t="s">
        <v>109</v>
      </c>
      <c r="F34" s="29">
        <v>2</v>
      </c>
      <c r="G34" s="7"/>
    </row>
    <row r="35" ht="44.1" customHeight="1" spans="1:7">
      <c r="A35" s="14">
        <v>7</v>
      </c>
      <c r="B35" s="14" t="s">
        <v>110</v>
      </c>
      <c r="C35" s="26" t="s">
        <v>111</v>
      </c>
      <c r="D35" s="27" t="s">
        <v>112</v>
      </c>
      <c r="E35" s="27" t="s">
        <v>113</v>
      </c>
      <c r="F35" s="29">
        <v>4</v>
      </c>
      <c r="G35" s="7">
        <f>SUM(F35:F39)</f>
        <v>13</v>
      </c>
    </row>
    <row r="36" ht="44.1" customHeight="1" spans="1:7">
      <c r="A36" s="14"/>
      <c r="B36" s="14"/>
      <c r="C36" s="26" t="s">
        <v>114</v>
      </c>
      <c r="D36" s="27" t="s">
        <v>115</v>
      </c>
      <c r="E36" s="27" t="s">
        <v>116</v>
      </c>
      <c r="F36" s="29">
        <v>3</v>
      </c>
      <c r="G36" s="7"/>
    </row>
    <row r="37" ht="44.1" customHeight="1" spans="1:7">
      <c r="A37" s="14"/>
      <c r="B37" s="14"/>
      <c r="C37" s="26" t="s">
        <v>117</v>
      </c>
      <c r="D37" s="27" t="s">
        <v>118</v>
      </c>
      <c r="E37" s="27" t="s">
        <v>119</v>
      </c>
      <c r="F37" s="29">
        <v>2</v>
      </c>
      <c r="G37" s="7"/>
    </row>
    <row r="38" ht="44.1" customHeight="1" spans="1:7">
      <c r="A38" s="14"/>
      <c r="B38" s="14"/>
      <c r="C38" s="26" t="s">
        <v>120</v>
      </c>
      <c r="D38" s="27" t="s">
        <v>121</v>
      </c>
      <c r="E38" s="27" t="s">
        <v>122</v>
      </c>
      <c r="F38" s="29">
        <v>2</v>
      </c>
      <c r="G38" s="7"/>
    </row>
    <row r="39" ht="44.1" customHeight="1" spans="1:7">
      <c r="A39" s="14"/>
      <c r="B39" s="14"/>
      <c r="C39" s="26" t="s">
        <v>123</v>
      </c>
      <c r="D39" s="27" t="s">
        <v>124</v>
      </c>
      <c r="E39" s="27" t="s">
        <v>125</v>
      </c>
      <c r="F39" s="29">
        <v>2</v>
      </c>
      <c r="G39" s="7"/>
    </row>
    <row r="40" ht="44.1" customHeight="1" spans="1:7">
      <c r="A40" s="14">
        <v>8</v>
      </c>
      <c r="B40" s="14" t="s">
        <v>126</v>
      </c>
      <c r="C40" s="26" t="s">
        <v>127</v>
      </c>
      <c r="D40" s="27" t="s">
        <v>128</v>
      </c>
      <c r="E40" s="27" t="s">
        <v>129</v>
      </c>
      <c r="F40" s="29">
        <v>3</v>
      </c>
      <c r="G40" s="7">
        <f>SUM(F40:F43)</f>
        <v>9</v>
      </c>
    </row>
    <row r="41" ht="44.1" customHeight="1" spans="1:7">
      <c r="A41" s="14"/>
      <c r="B41" s="14"/>
      <c r="C41" s="26" t="s">
        <v>130</v>
      </c>
      <c r="D41" s="27" t="s">
        <v>131</v>
      </c>
      <c r="E41" s="27" t="s">
        <v>132</v>
      </c>
      <c r="F41" s="29">
        <v>3</v>
      </c>
      <c r="G41" s="7"/>
    </row>
    <row r="42" ht="44.1" customHeight="1" spans="1:7">
      <c r="A42" s="14"/>
      <c r="B42" s="14"/>
      <c r="C42" s="26" t="s">
        <v>133</v>
      </c>
      <c r="D42" s="27" t="s">
        <v>134</v>
      </c>
      <c r="E42" s="27" t="s">
        <v>135</v>
      </c>
      <c r="F42" s="29">
        <v>2</v>
      </c>
      <c r="G42" s="7"/>
    </row>
    <row r="43" ht="44.1" customHeight="1" spans="1:7">
      <c r="A43" s="14"/>
      <c r="B43" s="14"/>
      <c r="C43" s="26" t="s">
        <v>136</v>
      </c>
      <c r="D43" s="27" t="s">
        <v>137</v>
      </c>
      <c r="E43" s="27" t="s">
        <v>138</v>
      </c>
      <c r="F43" s="29">
        <v>1</v>
      </c>
      <c r="G43" s="7"/>
    </row>
    <row r="44" ht="44.1" customHeight="1" spans="1:7">
      <c r="A44" s="14">
        <v>9</v>
      </c>
      <c r="B44" s="14" t="s">
        <v>139</v>
      </c>
      <c r="C44" s="26" t="s">
        <v>140</v>
      </c>
      <c r="D44" s="27" t="s">
        <v>141</v>
      </c>
      <c r="E44" s="27" t="s">
        <v>142</v>
      </c>
      <c r="F44" s="29">
        <v>4</v>
      </c>
      <c r="G44" s="7">
        <f>SUM(F44:F45)</f>
        <v>8</v>
      </c>
    </row>
    <row r="45" ht="44.1" customHeight="1" spans="1:7">
      <c r="A45" s="14"/>
      <c r="B45" s="14"/>
      <c r="C45" s="26" t="s">
        <v>143</v>
      </c>
      <c r="D45" s="27" t="s">
        <v>144</v>
      </c>
      <c r="E45" s="27" t="s">
        <v>145</v>
      </c>
      <c r="F45" s="29">
        <v>4</v>
      </c>
      <c r="G45" s="7"/>
    </row>
    <row r="46" ht="44.1" customHeight="1" spans="1:7">
      <c r="A46" s="14">
        <v>10</v>
      </c>
      <c r="B46" s="14" t="s">
        <v>146</v>
      </c>
      <c r="C46" s="26" t="s">
        <v>147</v>
      </c>
      <c r="D46" s="27" t="s">
        <v>148</v>
      </c>
      <c r="E46" s="27" t="s">
        <v>149</v>
      </c>
      <c r="F46" s="29">
        <v>6</v>
      </c>
      <c r="G46" s="7">
        <f>SUM(F46:F51)</f>
        <v>58</v>
      </c>
    </row>
    <row r="47" ht="44.1" customHeight="1" spans="1:7">
      <c r="A47" s="14"/>
      <c r="B47" s="14"/>
      <c r="C47" s="26" t="s">
        <v>150</v>
      </c>
      <c r="D47" s="27" t="s">
        <v>151</v>
      </c>
      <c r="E47" s="27" t="s">
        <v>152</v>
      </c>
      <c r="F47" s="29">
        <v>10</v>
      </c>
      <c r="G47" s="7"/>
    </row>
    <row r="48" ht="44.1" customHeight="1" spans="1:7">
      <c r="A48" s="14"/>
      <c r="B48" s="14"/>
      <c r="C48" s="26" t="s">
        <v>153</v>
      </c>
      <c r="D48" s="27" t="s">
        <v>154</v>
      </c>
      <c r="E48" s="27" t="s">
        <v>155</v>
      </c>
      <c r="F48" s="29">
        <v>18</v>
      </c>
      <c r="G48" s="7"/>
    </row>
    <row r="49" ht="44.1" customHeight="1" spans="1:7">
      <c r="A49" s="14"/>
      <c r="B49" s="14"/>
      <c r="C49" s="26" t="s">
        <v>156</v>
      </c>
      <c r="D49" s="27" t="s">
        <v>157</v>
      </c>
      <c r="E49" s="27" t="s">
        <v>158</v>
      </c>
      <c r="F49" s="29">
        <v>12</v>
      </c>
      <c r="G49" s="7"/>
    </row>
    <row r="50" ht="44.1" customHeight="1" spans="1:7">
      <c r="A50" s="14"/>
      <c r="B50" s="14"/>
      <c r="C50" s="26" t="s">
        <v>159</v>
      </c>
      <c r="D50" s="27" t="s">
        <v>160</v>
      </c>
      <c r="E50" s="27" t="s">
        <v>161</v>
      </c>
      <c r="F50" s="29">
        <v>8</v>
      </c>
      <c r="G50" s="7"/>
    </row>
    <row r="51" ht="44.1" customHeight="1" spans="1:7">
      <c r="A51" s="14"/>
      <c r="B51" s="14"/>
      <c r="C51" s="31" t="s">
        <v>162</v>
      </c>
      <c r="D51" s="27" t="s">
        <v>163</v>
      </c>
      <c r="E51" s="27" t="s">
        <v>164</v>
      </c>
      <c r="F51" s="7">
        <v>4</v>
      </c>
      <c r="G51" s="7"/>
    </row>
    <row r="52" ht="16.5" spans="1:7">
      <c r="A52" s="32"/>
      <c r="B52" s="32"/>
      <c r="C52" s="33"/>
      <c r="D52" s="34"/>
      <c r="E52" s="34"/>
      <c r="F52" s="35"/>
      <c r="G52" s="35"/>
    </row>
    <row r="53" ht="16.5" spans="1:7">
      <c r="A53" s="36"/>
      <c r="B53" s="36"/>
      <c r="C53" s="33"/>
      <c r="D53" s="37"/>
      <c r="E53" s="3" t="s">
        <v>165</v>
      </c>
      <c r="F53" s="13" t="s">
        <v>166</v>
      </c>
      <c r="G53" s="13" t="s">
        <v>167</v>
      </c>
    </row>
    <row r="54" ht="16.5" spans="1:7">
      <c r="A54" s="36"/>
      <c r="B54" s="36"/>
      <c r="C54" s="33"/>
      <c r="D54" s="37"/>
      <c r="E54" s="38">
        <v>1000</v>
      </c>
      <c r="F54" s="39">
        <f>SUM(F3:F51)</f>
        <v>233</v>
      </c>
      <c r="G54" s="40">
        <f>E54*F54</f>
        <v>233000</v>
      </c>
    </row>
    <row r="55" ht="16.5" spans="1:7">
      <c r="A55" s="36"/>
      <c r="B55" s="36"/>
      <c r="C55" s="33"/>
      <c r="D55" s="37"/>
      <c r="E55" s="38" t="str">
        <f>"软件及模型研发人力报价："&amp;TEXT(G54,"#,##0")&amp;" 元"</f>
        <v>软件及模型研发人力报价：233,000 元</v>
      </c>
      <c r="F55" s="39"/>
      <c r="G55" s="39"/>
    </row>
    <row r="56" ht="16.5" spans="1:7">
      <c r="A56" s="36"/>
      <c r="B56" s="36"/>
      <c r="C56" s="33"/>
      <c r="D56" s="37"/>
      <c r="E56" s="37"/>
      <c r="F56" s="37"/>
      <c r="G56" s="41"/>
    </row>
    <row r="57" ht="16.5" spans="1:7">
      <c r="A57" s="36"/>
      <c r="B57" s="36"/>
      <c r="C57" s="33"/>
      <c r="D57" s="37"/>
      <c r="E57" s="37"/>
      <c r="F57" s="37"/>
      <c r="G57" s="41"/>
    </row>
    <row r="58" ht="16.5" spans="1:7">
      <c r="A58" s="42"/>
      <c r="B58" s="42"/>
      <c r="C58" s="33"/>
      <c r="D58" s="37"/>
      <c r="E58" s="37"/>
      <c r="F58" s="37"/>
      <c r="G58" s="43"/>
    </row>
    <row r="59" ht="16.5" spans="1:7">
      <c r="A59" s="44"/>
      <c r="B59" s="44"/>
      <c r="C59" s="33"/>
      <c r="D59" s="37"/>
      <c r="E59" s="37"/>
      <c r="F59" s="37"/>
      <c r="G59" s="45"/>
    </row>
    <row r="60" ht="16.5" spans="1:7">
      <c r="A60" s="44"/>
      <c r="B60" s="44"/>
      <c r="C60" s="33"/>
      <c r="D60" s="37"/>
      <c r="E60" s="37"/>
      <c r="F60" s="37"/>
      <c r="G60" s="45"/>
    </row>
    <row r="61" ht="16.5" spans="1:7">
      <c r="A61" s="44"/>
      <c r="B61" s="44"/>
      <c r="C61" s="33"/>
      <c r="D61" s="37"/>
      <c r="E61" s="37"/>
      <c r="F61" s="37"/>
      <c r="G61" s="45"/>
    </row>
    <row r="62" ht="16.5" spans="1:7">
      <c r="A62" s="46"/>
      <c r="B62" s="46"/>
      <c r="C62" s="33"/>
      <c r="D62" s="37"/>
      <c r="E62" s="37"/>
      <c r="F62" s="37"/>
      <c r="G62" s="47"/>
    </row>
    <row r="63" ht="16.5" spans="1:7">
      <c r="A63" s="48"/>
      <c r="B63" s="48"/>
      <c r="C63" s="48"/>
      <c r="D63" s="48"/>
      <c r="E63" s="49"/>
      <c r="F63" s="49"/>
      <c r="G63" s="49"/>
    </row>
    <row r="64" ht="16.5" spans="1:7">
      <c r="A64" s="48"/>
      <c r="B64" s="48"/>
      <c r="C64" s="48"/>
      <c r="D64" s="48"/>
      <c r="E64" s="37"/>
      <c r="F64" s="37"/>
      <c r="G64" s="37"/>
    </row>
    <row r="65" ht="16.5" spans="1:7">
      <c r="A65" s="48"/>
      <c r="B65" s="48"/>
      <c r="C65" s="48"/>
      <c r="D65" s="48"/>
      <c r="E65" s="50"/>
      <c r="F65" s="50"/>
      <c r="G65" s="50"/>
    </row>
  </sheetData>
  <mergeCells count="32">
    <mergeCell ref="A1:G1"/>
    <mergeCell ref="E55:G55"/>
    <mergeCell ref="A3:A5"/>
    <mergeCell ref="A6:A9"/>
    <mergeCell ref="A10:A15"/>
    <mergeCell ref="A16:A22"/>
    <mergeCell ref="A23:A28"/>
    <mergeCell ref="A29:A34"/>
    <mergeCell ref="A35:A39"/>
    <mergeCell ref="A40:A43"/>
    <mergeCell ref="A44:A45"/>
    <mergeCell ref="A46:A51"/>
    <mergeCell ref="B3:B5"/>
    <mergeCell ref="B6:B9"/>
    <mergeCell ref="B10:B15"/>
    <mergeCell ref="B16:B22"/>
    <mergeCell ref="B23:B28"/>
    <mergeCell ref="B29:B34"/>
    <mergeCell ref="B35:B39"/>
    <mergeCell ref="B40:B43"/>
    <mergeCell ref="B44:B45"/>
    <mergeCell ref="B46:B51"/>
    <mergeCell ref="G3:G5"/>
    <mergeCell ref="G6:G9"/>
    <mergeCell ref="G10:G15"/>
    <mergeCell ref="G16:G22"/>
    <mergeCell ref="G23:G28"/>
    <mergeCell ref="G29:G34"/>
    <mergeCell ref="G35:G39"/>
    <mergeCell ref="G40:G43"/>
    <mergeCell ref="G44:G45"/>
    <mergeCell ref="G46:G51"/>
  </mergeCells>
  <pageMargins left="0.7" right="0.7" top="0.75" bottom="0.75" header="0.3" footer="0.3"/>
  <pageSetup paperSize="9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28"/>
  <sheetViews>
    <sheetView tabSelected="1" zoomScale="70" zoomScaleNormal="70" workbookViewId="0">
      <selection activeCell="A19" sqref="A19:D19"/>
    </sheetView>
  </sheetViews>
  <sheetFormatPr defaultColWidth="8.875" defaultRowHeight="13.5" outlineLevelCol="3"/>
  <cols>
    <col min="1" max="1" width="23.625" customWidth="1"/>
    <col min="2" max="2" width="62.625" customWidth="1"/>
    <col min="3" max="3" width="18.625" customWidth="1"/>
    <col min="4" max="4" width="13.625" customWidth="1"/>
  </cols>
  <sheetData>
    <row r="1" ht="24" customHeight="1" spans="1:4">
      <c r="A1" s="1" t="s">
        <v>168</v>
      </c>
      <c r="B1" s="2"/>
      <c r="C1" s="2"/>
      <c r="D1" s="2"/>
    </row>
    <row r="2" ht="15" spans="1:4">
      <c r="A2" s="3" t="s">
        <v>169</v>
      </c>
      <c r="B2" s="4" t="s">
        <v>170</v>
      </c>
      <c r="C2" s="4" t="s">
        <v>171</v>
      </c>
      <c r="D2" s="4" t="s">
        <v>172</v>
      </c>
    </row>
    <row r="3" ht="38.1" customHeight="1" spans="1:4">
      <c r="A3" s="5" t="s">
        <v>173</v>
      </c>
      <c r="B3" s="6" t="s">
        <v>174</v>
      </c>
      <c r="C3" s="7">
        <v>28000</v>
      </c>
      <c r="D3" s="6" t="s">
        <v>175</v>
      </c>
    </row>
    <row r="4" ht="38.1" customHeight="1" spans="1:4">
      <c r="A4" s="5"/>
      <c r="B4" s="6" t="s">
        <v>176</v>
      </c>
      <c r="C4" s="7">
        <v>15000</v>
      </c>
      <c r="D4" s="6" t="s">
        <v>175</v>
      </c>
    </row>
    <row r="5" ht="38.1" customHeight="1" spans="1:4">
      <c r="A5" s="5"/>
      <c r="B5" s="6" t="s">
        <v>177</v>
      </c>
      <c r="C5" s="7">
        <v>9000</v>
      </c>
      <c r="D5" s="6" t="s">
        <v>175</v>
      </c>
    </row>
    <row r="6" ht="38.1" customHeight="1" spans="1:4">
      <c r="A6" s="5"/>
      <c r="B6" s="6" t="s">
        <v>178</v>
      </c>
      <c r="C6" s="7">
        <v>8000</v>
      </c>
      <c r="D6" s="6" t="s">
        <v>175</v>
      </c>
    </row>
    <row r="7" ht="38.1" customHeight="1" spans="1:4">
      <c r="A7" s="5"/>
      <c r="B7" s="6" t="s">
        <v>179</v>
      </c>
      <c r="C7" s="8">
        <v>45000</v>
      </c>
      <c r="D7" s="9" t="s">
        <v>175</v>
      </c>
    </row>
    <row r="8" ht="38.1" customHeight="1" spans="1:4">
      <c r="A8" s="5"/>
      <c r="B8" s="6" t="s">
        <v>180</v>
      </c>
      <c r="C8" s="7">
        <v>5000</v>
      </c>
      <c r="D8" s="10" t="s">
        <v>175</v>
      </c>
    </row>
    <row r="9" ht="38.1" customHeight="1" spans="1:4">
      <c r="A9" s="5"/>
      <c r="B9" s="6" t="s">
        <v>181</v>
      </c>
      <c r="C9" s="7">
        <v>15000</v>
      </c>
      <c r="D9" s="10" t="s">
        <v>175</v>
      </c>
    </row>
    <row r="10" ht="38.1" customHeight="1" spans="1:4">
      <c r="A10" s="11" t="s">
        <v>182</v>
      </c>
      <c r="B10" s="6" t="s">
        <v>183</v>
      </c>
      <c r="C10" s="7">
        <v>45000</v>
      </c>
      <c r="D10" s="6" t="s">
        <v>175</v>
      </c>
    </row>
    <row r="11" ht="38.1" customHeight="1" spans="1:4">
      <c r="A11" s="11"/>
      <c r="B11" s="6" t="s">
        <v>184</v>
      </c>
      <c r="C11" s="7">
        <v>15000</v>
      </c>
      <c r="D11" s="6" t="s">
        <v>175</v>
      </c>
    </row>
    <row r="12" ht="38.1" customHeight="1" spans="1:4">
      <c r="A12" s="11"/>
      <c r="B12" s="6" t="s">
        <v>185</v>
      </c>
      <c r="C12" s="7">
        <v>30000</v>
      </c>
      <c r="D12" s="6" t="s">
        <v>175</v>
      </c>
    </row>
    <row r="13" ht="38.1" customHeight="1" spans="1:4">
      <c r="A13" s="12" t="s">
        <v>186</v>
      </c>
      <c r="B13" s="6" t="s">
        <v>187</v>
      </c>
      <c r="C13" s="7">
        <v>18000</v>
      </c>
      <c r="D13" s="6" t="s">
        <v>188</v>
      </c>
    </row>
    <row r="14" ht="38.1" customHeight="1" spans="1:4">
      <c r="A14" s="12"/>
      <c r="B14" s="6" t="s">
        <v>189</v>
      </c>
      <c r="C14" s="7">
        <v>72000</v>
      </c>
      <c r="D14" s="6" t="s">
        <v>188</v>
      </c>
    </row>
    <row r="15" ht="38.1" customHeight="1" spans="1:4">
      <c r="A15" s="12"/>
      <c r="B15" s="6" t="s">
        <v>190</v>
      </c>
      <c r="C15" s="7">
        <v>10000</v>
      </c>
      <c r="D15" s="6" t="s">
        <v>188</v>
      </c>
    </row>
    <row r="16" ht="38.1" customHeight="1" spans="1:4">
      <c r="A16" s="12"/>
      <c r="B16" s="6" t="s">
        <v>191</v>
      </c>
      <c r="C16" s="7">
        <v>6000</v>
      </c>
      <c r="D16" s="6" t="s">
        <v>188</v>
      </c>
    </row>
    <row r="17" ht="38.1" customHeight="1" spans="1:4">
      <c r="A17" s="12"/>
      <c r="B17" s="6" t="s">
        <v>192</v>
      </c>
      <c r="C17" s="7">
        <v>4000</v>
      </c>
      <c r="D17" s="6" t="s">
        <v>188</v>
      </c>
    </row>
    <row r="18" ht="38.1" customHeight="1" spans="1:4">
      <c r="A18" s="12"/>
      <c r="B18" s="6"/>
      <c r="C18" s="7"/>
      <c r="D18" s="6"/>
    </row>
    <row r="19" ht="38.1" customHeight="1" spans="1:4">
      <c r="A19" s="3" t="s">
        <v>193</v>
      </c>
      <c r="B19" s="4"/>
      <c r="C19" s="13"/>
      <c r="D19" s="4"/>
    </row>
    <row r="20" ht="38.1" customHeight="1" spans="1:4">
      <c r="A20" s="12" t="s">
        <v>194</v>
      </c>
      <c r="B20" s="6" t="s">
        <v>195</v>
      </c>
      <c r="C20" s="7">
        <v>175000</v>
      </c>
      <c r="D20" s="6" t="s">
        <v>175</v>
      </c>
    </row>
    <row r="21" ht="38.1" customHeight="1" spans="1:4">
      <c r="A21" s="12" t="s">
        <v>196</v>
      </c>
      <c r="B21" s="6" t="s">
        <v>197</v>
      </c>
      <c r="C21" s="7">
        <v>58000</v>
      </c>
      <c r="D21" s="6" t="s">
        <v>175</v>
      </c>
    </row>
    <row r="22" ht="38.1" customHeight="1" spans="1:4">
      <c r="A22" s="12" t="s">
        <v>198</v>
      </c>
      <c r="B22" s="6" t="s">
        <v>199</v>
      </c>
      <c r="C22" s="7">
        <v>90000</v>
      </c>
      <c r="D22" s="6" t="s">
        <v>175</v>
      </c>
    </row>
    <row r="23" ht="38.1" customHeight="1" spans="1:4">
      <c r="A23" s="12" t="s">
        <v>200</v>
      </c>
      <c r="B23" s="6" t="s">
        <v>201</v>
      </c>
      <c r="C23" s="7">
        <v>125000</v>
      </c>
      <c r="D23" s="6" t="s">
        <v>175</v>
      </c>
    </row>
    <row r="24" ht="38.1" customHeight="1" spans="1:4">
      <c r="A24" s="12" t="s">
        <v>186</v>
      </c>
      <c r="B24" s="6" t="s">
        <v>202</v>
      </c>
      <c r="C24" s="7">
        <v>110000</v>
      </c>
      <c r="D24" s="6" t="s">
        <v>188</v>
      </c>
    </row>
    <row r="25" ht="38.1" customHeight="1" spans="1:4">
      <c r="A25" s="14" t="s">
        <v>203</v>
      </c>
      <c r="B25" s="15"/>
      <c r="C25" s="16">
        <f>SUM(C20:C24)</f>
        <v>558000</v>
      </c>
      <c r="D25" s="15" t="s">
        <v>188</v>
      </c>
    </row>
    <row r="26" ht="38.1" customHeight="1" spans="1:4">
      <c r="A26" s="14" t="s">
        <v>204</v>
      </c>
      <c r="B26" s="15"/>
      <c r="C26" s="16">
        <f>ROUND(C25*10%,-3)</f>
        <v>56000</v>
      </c>
      <c r="D26" s="15" t="s">
        <v>205</v>
      </c>
    </row>
    <row r="27" ht="38.1" customHeight="1" spans="1:4">
      <c r="A27" s="17" t="s">
        <v>206</v>
      </c>
      <c r="B27" s="18"/>
      <c r="C27" s="19">
        <f>C25+C26</f>
        <v>614000</v>
      </c>
      <c r="D27" s="18" t="s">
        <v>207</v>
      </c>
    </row>
    <row r="28" ht="38.1" customHeight="1" spans="1:4">
      <c r="A28" s="12" t="s">
        <v>208</v>
      </c>
      <c r="B28" s="6"/>
      <c r="C28" s="7">
        <f>C24</f>
        <v>110000</v>
      </c>
      <c r="D28" s="6" t="s">
        <v>209</v>
      </c>
    </row>
  </sheetData>
  <mergeCells count="9">
    <mergeCell ref="A1:D1"/>
    <mergeCell ref="A19:D19"/>
    <mergeCell ref="A25:B25"/>
    <mergeCell ref="A26:B26"/>
    <mergeCell ref="A27:B27"/>
    <mergeCell ref="A28:B28"/>
    <mergeCell ref="A3:A9"/>
    <mergeCell ref="A10:A12"/>
    <mergeCell ref="A13:A17"/>
  </mergeCells>
  <pageMargins left="0.75" right="0.75" top="1" bottom="1" header="0.5" footer="0.5"/>
  <pageSetup paperSize="9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工作量估算和报价</vt:lpstr>
      <vt:lpstr>资源配置推荐及报价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白居易</cp:lastModifiedBy>
  <dcterms:created xsi:type="dcterms:W3CDTF">2023-05-12T11:15:00Z</dcterms:created>
  <dcterms:modified xsi:type="dcterms:W3CDTF">2026-07-24T10:52:36Z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
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I 服装4\报价\"/>
    </mc:Choice>
  </mc:AlternateContent>
  <xr:revisionPtr revIDLastSave="0" documentId="8_{7B89F737-8DBD-4FAD-B855-359CCA4F5A5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硬件配置及报价" sheetId="3" r:id="rId1"/>
    <sheet name="工作量估算和报价" sheetId="1" r:id="rId2"/>
    <sheet name="报价说明及范围边界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G11" i="3"/>
  <c r="C15" i="2"/>
  <c r="G41" i="1"/>
  <c r="F41" i="1"/>
  <c r="C14" i="2" s="1"/>
  <c r="G36" i="1"/>
  <c r="G33" i="1"/>
  <c r="G28" i="1"/>
  <c r="G25" i="1"/>
  <c r="G20" i="1"/>
  <c r="G15" i="1"/>
  <c r="G10" i="1"/>
  <c r="G6" i="1"/>
  <c r="G3" i="1"/>
  <c r="E42" i="1" l="1"/>
</calcChain>
</file>

<file path=xl/sharedStrings.xml><?xml version="1.0" encoding="utf-8"?>
<sst xmlns="http://schemas.openxmlformats.org/spreadsheetml/2006/main" count="218" uniqueCount="207">
  <si>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</si>
  <si>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</si>
  <si>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</si>
  <si>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</si>
  <si>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</si>
  <si>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</si>
  <si>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</si>
  <si>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</si>
  <si>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系统设计</t>
  </si>
  <si>
    <t>平均人力单价(元/人天)</t>
  </si>
  <si>
    <t>工作量合计(人天)</t>
  </si>
  <si>
    <t>数据统计与日志</t>
  </si>
  <si>
    <t>统计口径明确，数据可筛选和导出</t>
  </si>
  <si>
    <t>功能与回归测试</t>
  </si>
  <si>
    <t>核心用例通过，无阻断级缺陷</t>
  </si>
  <si>
    <t>联调与最终验收</t>
  </si>
  <si>
    <t>约定范围完成并通过最终验收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</si>
  <si>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</si>
  <si>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</si>
  <si>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</si>
  <si>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</si>
  <si>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</si>
  <si>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</si>
  <si>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</si>
  <si>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</si>
  <si>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</si>
  <si>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</si>
  <si>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</si>
  <si>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</si>
  <si>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</si>
  <si>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</si>
  <si>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</si>
  <si>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</si>
  <si>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</si>
  <si>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</si>
  <si>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</si>
  <si>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</si>
  <si>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</si>
  <si>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人物比例、体态和主要外观特征满足冻结样本集验收标准</t>
  </si>
  <si>
    <t>服装外形、关键细节、颜色和尺码信息与目标商品一致</t>
  </si>
  <si>
    <t>组合结果对应正确顾客和服装，明显错位、穿透及破损控制在验收范围内</t>
  </si>
  <si>
    <t>建立异常识别、人工修正、重试和降级交付机制</t>
  </si>
  <si>
    <t>失败结果可识别、可修正、可重试并保留处理记录</t>
  </si>
  <si>
    <t>展示建模进度、组合结果、多角度查看和进入下一场景的操作</t>
  </si>
  <si>
    <t>流程可连续完成，结果确认和状态传递准确</t>
  </si>
  <si>
    <t>动作播放连续，姿态、关节和身体结构在验收动作范围内稳定</t>
  </si>
  <si>
    <t>保证服装在动作过程中的跟随关系、外观连续性和穿着合理性</t>
  </si>
  <si>
    <t>约定动作下服装无明显错位、闪烁、破损或不可接受穿透</t>
  </si>
  <si>
    <t>人物与环境在位置、尺度、明暗、色彩和落地感方面协调</t>
  </si>
  <si>
    <t>完成展示镜头、视角切换、循环播放、结果确认和基础互动</t>
  </si>
  <si>
    <t>镜头衔接自然，展示内容完整且操作状态正确</t>
  </si>
  <si>
    <t>优化动态展示清晰度、流畅度、加载、资源占用和长时间运行稳定性</t>
  </si>
  <si>
    <t>在目标验收环境中达到约定帧率、时延和稳定运行要求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</si>
  <si>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</si>
  <si>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</si>
  <si>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</si>
  <si>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</si>
  <si>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</si>
  <si>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</si>
  <si>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</si>
  <si>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</si>
  <si>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</si>
  <si>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</si>
  <si>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</si>
  <si>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</si>
  <si>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</si>
  <si>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</si>
  <si>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</si>
  <si>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后台与任务服务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</si>
  <si>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</si>
  <si>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</si>
  <si>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</si>
  <si>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</si>
  <si>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</si>
  <si>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</si>
  <si>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统计体验量、成功率、平均耗时和异常情况</t>
  </si>
  <si>
    <t>运营管理后台</t>
  </si>
  <si>
    <t>覆盖双场景、后台、管理端、状态衔接和异常流程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</si>
  <si>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</si>
  <si>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</si>
  <si>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</si>
  <si>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</si>
  <si>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</si>
  <si>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</si>
  <si>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</si>
  <si>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</si>
  <si>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</si>
  <si>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</si>
  <si>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</si>
  <si>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</si>
  <si>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系统测试与验收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</si>
  <si>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</si>
  <si>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</si>
  <si>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</si>
  <si>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</si>
  <si>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</si>
  <si>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</si>
  <si>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</si>
  <si>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</si>
  <si>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</si>
  <si>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部署与交付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</si>
  <si>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</si>
  <si>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</si>
  <si>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</si>
  <si>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</si>
  <si>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</si>
  <si>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</si>
  <si>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组织联调、试运行、验收问题处理和最终交付</t>
  </si>
  <si>
    <t>项目管理与最终验收</t>
  </si>
  <si>
    <t>研发最终报价</t>
  </si>
  <si>
    <t>说明类别</t>
  </si>
  <si>
    <t>内容</t>
  </si>
  <si>
    <t>费用处理</t>
  </si>
  <si>
    <t>备注</t>
  </si>
  <si>
    <t>研发报价</t>
  </si>
  <si>
    <t>双场景核心研发、后台支撑、测试、部署及项目管理</t>
  </si>
  <si>
    <t>已包含</t>
  </si>
  <si>
    <t>780人天</t>
  </si>
  <si>
    <t>核心范围</t>
  </si>
  <si>
    <t>重点研发</t>
  </si>
  <si>
    <t>支持范围</t>
  </si>
  <si>
    <t>任务服务、资产管理、管理后台、日志、测试、部署和交付</t>
  </si>
  <si>
    <t>保障双场景完整落地</t>
  </si>
  <si>
    <t>验收原则</t>
  </si>
  <si>
    <t>采用双方冻结的样本、动作、环境和质量标准进行结果验收</t>
  </si>
  <si>
    <t>以交付结果和质量为准</t>
  </si>
  <si>
    <t>保密说明</t>
  </si>
  <si>
    <t>对外报价仅描述功能结果与验收口径，不披露具体算法、模型、框架、参数、内部数据流程或部署结构</t>
  </si>
  <si>
    <t>详细技术材料仅在保密条件下提供</t>
  </si>
  <si>
    <t>范围边界</t>
  </si>
  <si>
    <t>不包含</t>
  </si>
  <si>
    <t>云资源、第三方服务、数据或素材采购及授权</t>
  </si>
  <si>
    <t>按实际使用或采购结算</t>
  </si>
  <si>
    <t>变更原则</t>
  </si>
  <si>
    <t>超出本表范围的新增场景、动作、环境、服装类型或验收指标</t>
  </si>
  <si>
    <t>变更后另行评估</t>
  </si>
  <si>
    <t>工作量合计</t>
  </si>
  <si>
    <t>人天</t>
  </si>
  <si>
    <t>人天单价</t>
  </si>
  <si>
    <t>元/人天</t>
  </si>
  <si>
    <t>AI智能3D试衣项目-双场景核心研发工作量估算和报价</t>
    <phoneticPr fontId="8" type="noConversion"/>
  </si>
  <si>
    <t>场景一：顾客与服装3D建模试穿</t>
    <phoneticPr fontId="8" type="noConversion"/>
  </si>
  <si>
    <t>顾客3D人体建模</t>
    <phoneticPr fontId="8" type="noConversion"/>
  </si>
  <si>
    <t>根据现场采集结果建立可用于试穿展示的顾客3D人体模型</t>
    <phoneticPr fontId="8" type="noConversion"/>
  </si>
  <si>
    <t>服装3D建模</t>
    <phoneticPr fontId="8" type="noConversion"/>
  </si>
  <si>
    <t>针对指定服装建立可用于穿着组合和动态展示的服装3D模型及规格资产</t>
    <phoneticPr fontId="8" type="noConversion"/>
  </si>
  <si>
    <t>顾客＋服装3D组合建模</t>
    <phoneticPr fontId="8" type="noConversion"/>
  </si>
  <si>
    <t>将顾客3D人体与所选服装3D模型形成完整穿着组合，并保证穿着关系和视觉一致性</t>
    <phoneticPr fontId="8" type="noConversion"/>
  </si>
  <si>
    <t>3D模型质量修正</t>
    <phoneticPr fontId="8" type="noConversion"/>
  </si>
  <si>
    <t>场景一3D交互与结果确认</t>
    <phoneticPr fontId="8" type="noConversion"/>
  </si>
  <si>
    <t>场景二：3D骨骼动画与环境融合</t>
    <phoneticPr fontId="8" type="noConversion"/>
  </si>
  <si>
    <t>3D骨骼动画制作与驱动</t>
    <phoneticPr fontId="8" type="noConversion"/>
  </si>
  <si>
    <t>为顾客3D穿着组合建立适用于展示的骨骼动画能力，并制作约定动作内容</t>
    <phoneticPr fontId="8" type="noConversion"/>
  </si>
  <si>
    <t>服装3D动态一致性</t>
    <phoneticPr fontId="8" type="noConversion"/>
  </si>
  <si>
    <t>3D人物与环境融合</t>
    <phoneticPr fontId="8" type="noConversion"/>
  </si>
  <si>
    <t>将动态3D人物与约定展示环境进行统一呈现和观感融合</t>
    <phoneticPr fontId="8" type="noConversion"/>
  </si>
  <si>
    <t>3D镜头与展示编排</t>
    <phoneticPr fontId="8" type="noConversion"/>
  </si>
  <si>
    <t>3D动态质量与性能优化</t>
    <phoneticPr fontId="8" type="noConversion"/>
  </si>
  <si>
    <t>场景一：顾客3D人体建模、服装3D建模、顾客＋服装3D组合建模及结果确认</t>
    <phoneticPr fontId="14" type="noConversion"/>
  </si>
  <si>
    <t>场景二：3D骨骼动画、服装3D动态一致性、环境融合及动态展示</t>
    <phoneticPr fontId="14" type="noConversion"/>
  </si>
  <si>
    <t>AI智能3D试衣项目-互动大屏及配套硬件暂估报价</t>
  </si>
  <si>
    <t>硬件项目</t>
  </si>
  <si>
    <t>配置与用途</t>
  </si>
  <si>
    <t>数量</t>
  </si>
  <si>
    <t>暂估金额(元)</t>
  </si>
  <si>
    <t>交互展示</t>
  </si>
  <si>
    <t>55英寸互动大屏（不低于43英寸）</t>
  </si>
  <si>
    <t>用于顾客操作、3D试穿结果确认和动态环境展示；具体品牌及外观按采购时确认</t>
  </si>
  <si>
    <t>屏幕显示、触控、接口及连续运行满足现场使用要求</t>
  </si>
  <si>
    <t>安装支撑</t>
  </si>
  <si>
    <t>移动支架或安装组件</t>
  </si>
  <si>
    <t>匹配大屏尺寸及现场布局，支持稳定摆放、走线和必要位置调整</t>
  </si>
  <si>
    <t>承重、稳定性、安装位置及线缆整理符合现场安全要求</t>
  </si>
  <si>
    <t>交互终端</t>
  </si>
  <si>
    <t>现场交互控制主机</t>
  </si>
  <si>
    <t>承担互动界面、设备连接、内容调度及现场展示控制；不含专业GPU服务器</t>
  </si>
  <si>
    <t>双场景交互与展示流程运行稳定，接口满足约定外设接入</t>
  </si>
  <si>
    <t>顾客采集</t>
  </si>
  <si>
    <t>顾客采集组件</t>
  </si>
  <si>
    <t>用于顾客建模所需的现场信息采集，具体规格以场地与验收方案确认</t>
  </si>
  <si>
    <t>采集范围、清晰度、稳定性及设备连接满足冻结验收条件</t>
  </si>
  <si>
    <t>环境补光</t>
  </si>
  <si>
    <t>柔光照明组件</t>
  </si>
  <si>
    <t>改善现场采集与展示环境，包含基础灯具、支撑及调节组件</t>
  </si>
  <si>
    <t>照明均匀、亮度可调，无明显影响采集质量的频闪和强阴影</t>
  </si>
  <si>
    <t>网络与供电</t>
  </si>
  <si>
    <t>网络、电源及线材组件</t>
  </si>
  <si>
    <t>包含现场路由、交换或连接配件、电源保护及必要线材</t>
  </si>
  <si>
    <t>网络连接、供电保护及线缆长度满足现场连续运行要求</t>
  </si>
  <si>
    <t>安装调试</t>
  </si>
  <si>
    <t>现场安装、联调及基础培训</t>
  </si>
  <si>
    <t>完成设备安装、连线、基础联调、使用说明和现场操作培训</t>
  </si>
  <si>
    <t>硬件正常启动并完成双场景主流程联调，指定人员可完成基础操作</t>
  </si>
  <si>
    <t>硬件暂估合计（元）</t>
  </si>
  <si>
    <t>说明：硬件预算按约3万元暂估，最终金额随品牌、规格、税费、运输、安装方式及现场条件据实确认。</t>
  </si>
  <si>
    <t>AI智能3D试衣项目-研发与硬件报价说明及范围边界</t>
    <phoneticPr fontId="14" type="noConversion"/>
  </si>
  <si>
    <t>硬件范围</t>
    <phoneticPr fontId="14" type="noConversion"/>
  </si>
  <si>
    <t>互动大屏、现场交互主机、顾客采集、灯光、网络供电、安装调试等</t>
    <phoneticPr fontId="14" type="noConversion"/>
  </si>
  <si>
    <t>已包含</t>
    <phoneticPr fontId="14" type="noConversion"/>
  </si>
  <si>
    <t>暂估29,800元</t>
    <phoneticPr fontId="14" type="noConversion"/>
  </si>
  <si>
    <t>3D双场景项目报价汇总（不含云资源及第三方费用）</t>
    <phoneticPr fontId="14" type="noConversion"/>
  </si>
  <si>
    <t>研发最终报价</t>
    <phoneticPr fontId="14" type="noConversion"/>
  </si>
  <si>
    <t>不含硬件</t>
    <phoneticPr fontId="14" type="noConversion"/>
  </si>
  <si>
    <t>硬件暂估报价</t>
  </si>
  <si>
    <t>约3万元</t>
  </si>
  <si>
    <t>项目报价合计</t>
  </si>
  <si>
    <t>含硬件暂估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</si>
</sst>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;[Red]&quot;￥&quot;\-#,##0.00"/>
  </numFmts>
  <fonts count="18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0.5"/>
      <color rgb="FF393939"/>
      <name val="Arial"/>
      <family val="2"/>
    </font>
    <font>
      <sz val="9"/>
      <name val="宋体"/>
      <charset val="134"/>
      <scheme val="minor"/>
    </font>
    <font>
      <b/>
      <sz val="12"/>
      <color rgb="FF393939"/>
      <name val="微软雅黑"/>
      <family val="2"/>
      <charset val="134"/>
    </font>
    <font>
      <b/>
      <sz val="11"/>
      <color rgb="FF393939"/>
      <name val="微软雅黑"/>
      <family val="2"/>
      <charset val="134"/>
    </font>
    <font>
      <sz val="11"/>
      <color rgb="FF39393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333333"/>
      <name val="微软雅黑"/>
      <family val="2"/>
      <charset val="134"/>
    </font>
    <font>
      <sz val="11"/>
      <color rgb="FF333333"/>
      <name val="微软雅黑"/>
      <family val="2"/>
      <charset val="134"/>
    </font>
    <font>
      <b/>
      <sz val="18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76" fontId="13" fillId="4" borderId="1" xfId="0" applyNumberFormat="1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3" fontId="10" fillId="4" borderId="10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3" fontId="13" fillId="5" borderId="10" xfId="0" applyNumberFormat="1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3" fontId="13" fillId="4" borderId="10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7E0E-52D2-4A89-A66A-EE00685880E9}">
  <dimension ref="A1:G15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6.25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customWidth="1"/>
    <col min="7" max="7" width="18.125" customWidth="1"/>
  </cols>
  <sheetData>
    <row r="1" spans="1:7" ht="24.75" x14ac:dyDescent="0.15">
      <c r="A1" s="61" t="s">
        <v>160</v>
      </c>
      <c r="B1" s="62"/>
      <c r="C1" s="62"/>
      <c r="D1" s="62"/>
      <c r="E1" s="62"/>
      <c r="F1" s="62"/>
      <c r="G1" s="63"/>
    </row>
    <row r="2" spans="1:7" ht="18" x14ac:dyDescent="0.15">
      <c r="A2" s="18" t="s">
        <v>0</v>
      </c>
      <c r="B2" s="18" t="s">
        <v>1</v>
      </c>
      <c r="C2" s="18" t="s">
        <v>161</v>
      </c>
      <c r="D2" s="18" t="s">
        <v>162</v>
      </c>
      <c r="E2" s="18" t="s">
        <v>4</v>
      </c>
      <c r="F2" s="18" t="s">
        <v>163</v>
      </c>
      <c r="G2" s="18" t="s">
        <v>164</v>
      </c>
    </row>
    <row r="3" spans="1:7" ht="57.95" customHeight="1" x14ac:dyDescent="0.15">
      <c r="A3" s="45">
        <v>1</v>
      </c>
      <c r="B3" s="45" t="s">
        <v>165</v>
      </c>
      <c r="C3" s="58" t="s">
        <v>166</v>
      </c>
      <c r="D3" s="20" t="s">
        <v>167</v>
      </c>
      <c r="E3" s="21" t="s">
        <v>168</v>
      </c>
      <c r="F3" s="57">
        <v>1</v>
      </c>
      <c r="G3" s="27">
        <v>10800</v>
      </c>
    </row>
    <row r="4" spans="1:7" ht="57.95" customHeight="1" x14ac:dyDescent="0.15">
      <c r="A4" s="45">
        <v>2</v>
      </c>
      <c r="B4" s="45" t="s">
        <v>169</v>
      </c>
      <c r="C4" s="58" t="s">
        <v>170</v>
      </c>
      <c r="D4" s="20" t="s">
        <v>171</v>
      </c>
      <c r="E4" s="21" t="s">
        <v>172</v>
      </c>
      <c r="F4" s="57">
        <v>1</v>
      </c>
      <c r="G4" s="27">
        <v>1800</v>
      </c>
    </row>
    <row r="5" spans="1:7" ht="57.95" customHeight="1" x14ac:dyDescent="0.15">
      <c r="A5" s="45">
        <v>3</v>
      </c>
      <c r="B5" s="45" t="s">
        <v>173</v>
      </c>
      <c r="C5" s="58" t="s">
        <v>174</v>
      </c>
      <c r="D5" s="20" t="s">
        <v>175</v>
      </c>
      <c r="E5" s="21" t="s">
        <v>176</v>
      </c>
      <c r="F5" s="57">
        <v>1</v>
      </c>
      <c r="G5" s="27">
        <v>7500</v>
      </c>
    </row>
    <row r="6" spans="1:7" ht="57.95" customHeight="1" x14ac:dyDescent="0.15">
      <c r="A6" s="45">
        <v>4</v>
      </c>
      <c r="B6" s="45" t="s">
        <v>177</v>
      </c>
      <c r="C6" s="58" t="s">
        <v>178</v>
      </c>
      <c r="D6" s="20" t="s">
        <v>179</v>
      </c>
      <c r="E6" s="21" t="s">
        <v>180</v>
      </c>
      <c r="F6" s="57">
        <v>1</v>
      </c>
      <c r="G6" s="27">
        <v>4500</v>
      </c>
    </row>
    <row r="7" spans="1:7" ht="57.95" customHeight="1" x14ac:dyDescent="0.15">
      <c r="A7" s="45">
        <v>5</v>
      </c>
      <c r="B7" s="45" t="s">
        <v>181</v>
      </c>
      <c r="C7" s="58" t="s">
        <v>182</v>
      </c>
      <c r="D7" s="20" t="s">
        <v>183</v>
      </c>
      <c r="E7" s="21" t="s">
        <v>184</v>
      </c>
      <c r="F7" s="57">
        <v>1</v>
      </c>
      <c r="G7" s="27">
        <v>1800</v>
      </c>
    </row>
    <row r="8" spans="1:7" ht="57.95" customHeight="1" x14ac:dyDescent="0.15">
      <c r="A8" s="45">
        <v>6</v>
      </c>
      <c r="B8" s="45" t="s">
        <v>185</v>
      </c>
      <c r="C8" s="58" t="s">
        <v>186</v>
      </c>
      <c r="D8" s="20" t="s">
        <v>187</v>
      </c>
      <c r="E8" s="21" t="s">
        <v>188</v>
      </c>
      <c r="F8" s="57">
        <v>1</v>
      </c>
      <c r="G8" s="27">
        <v>1500</v>
      </c>
    </row>
    <row r="9" spans="1:7" ht="57.95" customHeight="1" x14ac:dyDescent="0.15">
      <c r="A9" s="45">
        <v>7</v>
      </c>
      <c r="B9" s="45" t="s">
        <v>189</v>
      </c>
      <c r="C9" s="58" t="s">
        <v>190</v>
      </c>
      <c r="D9" s="20" t="s">
        <v>191</v>
      </c>
      <c r="E9" s="21" t="s">
        <v>192</v>
      </c>
      <c r="F9" s="57">
        <v>1</v>
      </c>
      <c r="G9" s="27">
        <v>1900</v>
      </c>
    </row>
    <row r="10" spans="1:7" ht="16.5" x14ac:dyDescent="0.15">
      <c r="A10" s="45"/>
      <c r="B10" s="45"/>
      <c r="C10" s="19"/>
      <c r="D10" s="20"/>
      <c r="E10" s="21"/>
      <c r="F10" s="26"/>
      <c r="G10" s="27"/>
    </row>
    <row r="11" spans="1:7" ht="30" customHeight="1" x14ac:dyDescent="0.15">
      <c r="A11" s="59" t="s">
        <v>193</v>
      </c>
      <c r="B11" s="59"/>
      <c r="C11" s="59"/>
      <c r="D11" s="59"/>
      <c r="E11" s="59"/>
      <c r="F11" s="59"/>
      <c r="G11" s="60">
        <f>SUM(G3:G9)</f>
        <v>29800</v>
      </c>
    </row>
    <row r="12" spans="1:7" ht="42" customHeight="1" x14ac:dyDescent="0.15">
      <c r="A12" s="59" t="s">
        <v>194</v>
      </c>
      <c r="B12" s="59"/>
      <c r="C12" s="59"/>
      <c r="D12" s="59"/>
      <c r="E12" s="59"/>
      <c r="F12" s="59"/>
      <c r="G12" s="59"/>
    </row>
    <row r="13" spans="1:7" ht="16.5" x14ac:dyDescent="0.15">
      <c r="A13" s="45"/>
      <c r="B13" s="45"/>
      <c r="C13" s="19"/>
      <c r="D13" s="20"/>
      <c r="E13" s="20"/>
      <c r="F13" s="27"/>
      <c r="G13" s="27"/>
    </row>
    <row r="14" spans="1:7" ht="16.5" x14ac:dyDescent="0.15">
      <c r="A14" s="45"/>
      <c r="B14" s="45"/>
      <c r="C14" s="19"/>
      <c r="D14" s="20"/>
      <c r="E14" s="20"/>
      <c r="F14" s="27"/>
      <c r="G14" s="27"/>
    </row>
    <row r="15" spans="1:7" ht="16.5" x14ac:dyDescent="0.15">
      <c r="A15" s="45"/>
      <c r="B15" s="45"/>
      <c r="C15" s="19"/>
      <c r="D15" s="20"/>
      <c r="E15" s="20"/>
      <c r="F15" s="27"/>
      <c r="G15" s="27"/>
    </row>
  </sheetData>
  <mergeCells count="3">
    <mergeCell ref="A11:F11"/>
    <mergeCell ref="A12:G12"/>
    <mergeCell ref="A1:G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zoomScale="85" zoomScaleNormal="85" workbookViewId="0">
      <selection activeCell="B3" sqref="B3:B5"/>
    </sheetView>
  </sheetViews>
  <sheetFormatPr defaultColWidth="9" defaultRowHeight="13.5" x14ac:dyDescent="0.15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spans="1:8" ht="45" customHeight="1" x14ac:dyDescent="0.15">
      <c r="A1" s="47" t="s">
        <v>140</v>
      </c>
      <c r="B1" s="48"/>
      <c r="C1" s="48"/>
      <c r="D1" s="48"/>
      <c r="E1" s="48"/>
      <c r="F1" s="48"/>
      <c r="G1" s="49"/>
    </row>
    <row r="2" spans="1:8" ht="18" x14ac:dyDescent="0.1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8" ht="48" customHeight="1" x14ac:dyDescent="0.15">
      <c r="A3" s="50">
        <v>1</v>
      </c>
      <c r="B3" s="50" t="s">
        <v>7</v>
      </c>
      <c r="C3" s="19" t="s">
        <v>17</v>
      </c>
      <c r="D3" s="20" t="s">
        <v>18</v>
      </c>
      <c r="E3" s="21" t="s">
        <v>19</v>
      </c>
      <c r="F3" s="26">
        <v>10</v>
      </c>
      <c r="G3" s="51">
        <f>SUM(F3:F5)</f>
        <v>30</v>
      </c>
    </row>
    <row r="4" spans="1:8" ht="48" customHeight="1" x14ac:dyDescent="0.15">
      <c r="A4" s="50"/>
      <c r="B4" s="50"/>
      <c r="C4" s="19" t="s">
        <v>20</v>
      </c>
      <c r="D4" s="20" t="s">
        <v>21</v>
      </c>
      <c r="E4" s="21" t="s">
        <v>22</v>
      </c>
      <c r="F4" s="26">
        <v>10</v>
      </c>
      <c r="G4" s="51"/>
      <c r="H4" s="6"/>
    </row>
    <row r="5" spans="1:8" ht="48" customHeight="1" x14ac:dyDescent="0.15">
      <c r="A5" s="50"/>
      <c r="B5" s="50"/>
      <c r="C5" s="19" t="s">
        <v>23</v>
      </c>
      <c r="D5" s="20" t="s">
        <v>24</v>
      </c>
      <c r="E5" s="21" t="s">
        <v>25</v>
      </c>
      <c r="F5" s="26">
        <v>10</v>
      </c>
      <c r="G5" s="51"/>
      <c r="H5" s="6"/>
    </row>
    <row r="6" spans="1:8" ht="48" customHeight="1" x14ac:dyDescent="0.15">
      <c r="A6" s="50">
        <v>2</v>
      </c>
      <c r="B6" s="50" t="s">
        <v>8</v>
      </c>
      <c r="C6" s="19" t="s">
        <v>26</v>
      </c>
      <c r="D6" s="20" t="s">
        <v>27</v>
      </c>
      <c r="E6" s="21" t="s">
        <v>28</v>
      </c>
      <c r="F6" s="26">
        <v>20</v>
      </c>
      <c r="G6" s="51">
        <f>SUM(F6:F9)</f>
        <v>70</v>
      </c>
      <c r="H6" s="6"/>
    </row>
    <row r="7" spans="1:8" ht="48" customHeight="1" x14ac:dyDescent="0.15">
      <c r="A7" s="50"/>
      <c r="B7" s="50"/>
      <c r="C7" s="19" t="s">
        <v>29</v>
      </c>
      <c r="D7" s="20" t="s">
        <v>30</v>
      </c>
      <c r="E7" s="21" t="s">
        <v>31</v>
      </c>
      <c r="F7" s="26">
        <v>15</v>
      </c>
      <c r="G7" s="51"/>
      <c r="H7" s="6"/>
    </row>
    <row r="8" spans="1:8" ht="48" customHeight="1" x14ac:dyDescent="0.15">
      <c r="A8" s="50"/>
      <c r="B8" s="50"/>
      <c r="C8" s="19" t="s">
        <v>32</v>
      </c>
      <c r="D8" s="20" t="s">
        <v>33</v>
      </c>
      <c r="E8" s="21" t="s">
        <v>34</v>
      </c>
      <c r="F8" s="26">
        <v>15</v>
      </c>
      <c r="G8" s="51"/>
      <c r="H8" s="6"/>
    </row>
    <row r="9" spans="1:8" ht="48" customHeight="1" x14ac:dyDescent="0.15">
      <c r="A9" s="50"/>
      <c r="B9" s="50"/>
      <c r="C9" s="19" t="s">
        <v>35</v>
      </c>
      <c r="D9" s="20" t="s">
        <v>36</v>
      </c>
      <c r="E9" s="21" t="s">
        <v>37</v>
      </c>
      <c r="F9" s="26">
        <v>20</v>
      </c>
      <c r="G9" s="51"/>
      <c r="H9" s="6"/>
    </row>
    <row r="10" spans="1:8" ht="48" customHeight="1" x14ac:dyDescent="0.15">
      <c r="A10" s="50">
        <v>3</v>
      </c>
      <c r="B10" s="50" t="s">
        <v>141</v>
      </c>
      <c r="C10" s="19" t="s">
        <v>142</v>
      </c>
      <c r="D10" s="20" t="s">
        <v>143</v>
      </c>
      <c r="E10" s="21" t="s">
        <v>38</v>
      </c>
      <c r="F10" s="26">
        <v>80</v>
      </c>
      <c r="G10" s="51">
        <f>SUM(F10:F14)</f>
        <v>300</v>
      </c>
      <c r="H10" s="6"/>
    </row>
    <row r="11" spans="1:8" ht="48" customHeight="1" x14ac:dyDescent="0.15">
      <c r="A11" s="50"/>
      <c r="B11" s="50"/>
      <c r="C11" s="19" t="s">
        <v>144</v>
      </c>
      <c r="D11" s="20" t="s">
        <v>145</v>
      </c>
      <c r="E11" s="20" t="s">
        <v>39</v>
      </c>
      <c r="F11" s="27">
        <v>70</v>
      </c>
      <c r="G11" s="51"/>
    </row>
    <row r="12" spans="1:8" ht="48" customHeight="1" x14ac:dyDescent="0.15">
      <c r="A12" s="50"/>
      <c r="B12" s="50"/>
      <c r="C12" s="19" t="s">
        <v>146</v>
      </c>
      <c r="D12" s="20" t="s">
        <v>147</v>
      </c>
      <c r="E12" s="20" t="s">
        <v>40</v>
      </c>
      <c r="F12" s="27">
        <v>80</v>
      </c>
      <c r="G12" s="51"/>
    </row>
    <row r="13" spans="1:8" ht="48" customHeight="1" x14ac:dyDescent="0.15">
      <c r="A13" s="50"/>
      <c r="B13" s="50"/>
      <c r="C13" s="19" t="s">
        <v>148</v>
      </c>
      <c r="D13" s="20" t="s">
        <v>41</v>
      </c>
      <c r="E13" s="20" t="s">
        <v>42</v>
      </c>
      <c r="F13" s="27">
        <v>40</v>
      </c>
      <c r="G13" s="51"/>
    </row>
    <row r="14" spans="1:8" ht="48" customHeight="1" x14ac:dyDescent="0.15">
      <c r="A14" s="50"/>
      <c r="B14" s="50"/>
      <c r="C14" s="19" t="s">
        <v>149</v>
      </c>
      <c r="D14" s="20" t="s">
        <v>43</v>
      </c>
      <c r="E14" s="20" t="s">
        <v>44</v>
      </c>
      <c r="F14" s="27">
        <v>30</v>
      </c>
      <c r="G14" s="51"/>
    </row>
    <row r="15" spans="1:8" ht="48" customHeight="1" x14ac:dyDescent="0.15">
      <c r="A15" s="50">
        <v>4</v>
      </c>
      <c r="B15" s="50" t="s">
        <v>150</v>
      </c>
      <c r="C15" s="19" t="s">
        <v>151</v>
      </c>
      <c r="D15" s="20" t="s">
        <v>152</v>
      </c>
      <c r="E15" s="20" t="s">
        <v>45</v>
      </c>
      <c r="F15" s="27">
        <v>70</v>
      </c>
      <c r="G15" s="51">
        <f>SUM(F15:F19)</f>
        <v>210</v>
      </c>
    </row>
    <row r="16" spans="1:8" ht="48" customHeight="1" x14ac:dyDescent="0.15">
      <c r="A16" s="50"/>
      <c r="B16" s="50"/>
      <c r="C16" s="19" t="s">
        <v>153</v>
      </c>
      <c r="D16" s="20" t="s">
        <v>46</v>
      </c>
      <c r="E16" s="20" t="s">
        <v>47</v>
      </c>
      <c r="F16" s="27">
        <v>50</v>
      </c>
      <c r="G16" s="51"/>
    </row>
    <row r="17" spans="1:7" ht="48" customHeight="1" x14ac:dyDescent="0.15">
      <c r="A17" s="50"/>
      <c r="B17" s="50"/>
      <c r="C17" s="19" t="s">
        <v>154</v>
      </c>
      <c r="D17" s="20" t="s">
        <v>155</v>
      </c>
      <c r="E17" s="20" t="s">
        <v>48</v>
      </c>
      <c r="F17" s="27">
        <v>45</v>
      </c>
      <c r="G17" s="51"/>
    </row>
    <row r="18" spans="1:7" ht="48" customHeight="1" x14ac:dyDescent="0.15">
      <c r="A18" s="50"/>
      <c r="B18" s="50"/>
      <c r="C18" s="19" t="s">
        <v>156</v>
      </c>
      <c r="D18" s="20" t="s">
        <v>49</v>
      </c>
      <c r="E18" s="20" t="s">
        <v>50</v>
      </c>
      <c r="F18" s="27">
        <v>25</v>
      </c>
      <c r="G18" s="51"/>
    </row>
    <row r="19" spans="1:7" ht="48" customHeight="1" x14ac:dyDescent="0.15">
      <c r="A19" s="50"/>
      <c r="B19" s="50"/>
      <c r="C19" s="19" t="s">
        <v>157</v>
      </c>
      <c r="D19" s="20" t="s">
        <v>51</v>
      </c>
      <c r="E19" s="20" t="s">
        <v>52</v>
      </c>
      <c r="F19" s="27">
        <v>20</v>
      </c>
      <c r="G19" s="51"/>
    </row>
    <row r="20" spans="1:7" ht="48" customHeight="1" x14ac:dyDescent="0.15">
      <c r="A20" s="46">
        <v>5</v>
      </c>
      <c r="B20" s="46" t="s">
        <v>68</v>
      </c>
      <c r="C20" s="19" t="s">
        <v>53</v>
      </c>
      <c r="D20" s="20" t="s">
        <v>54</v>
      </c>
      <c r="E20" s="20" t="s">
        <v>55</v>
      </c>
      <c r="F20" s="27">
        <v>12</v>
      </c>
      <c r="G20" s="52">
        <f>SUM(F20:F24)</f>
        <v>70</v>
      </c>
    </row>
    <row r="21" spans="1:7" ht="48" customHeight="1" x14ac:dyDescent="0.15">
      <c r="A21" s="46"/>
      <c r="B21" s="46"/>
      <c r="C21" s="19" t="s">
        <v>56</v>
      </c>
      <c r="D21" s="20" t="s">
        <v>57</v>
      </c>
      <c r="E21" s="20" t="s">
        <v>58</v>
      </c>
      <c r="F21" s="27">
        <v>15</v>
      </c>
      <c r="G21" s="52"/>
    </row>
    <row r="22" spans="1:7" ht="48" customHeight="1" x14ac:dyDescent="0.15">
      <c r="A22" s="46"/>
      <c r="B22" s="46"/>
      <c r="C22" s="19" t="s">
        <v>59</v>
      </c>
      <c r="D22" s="20" t="s">
        <v>60</v>
      </c>
      <c r="E22" s="20" t="s">
        <v>61</v>
      </c>
      <c r="F22" s="27">
        <v>18</v>
      </c>
      <c r="G22" s="52"/>
    </row>
    <row r="23" spans="1:7" ht="48" customHeight="1" x14ac:dyDescent="0.15">
      <c r="A23" s="46"/>
      <c r="B23" s="46"/>
      <c r="C23" s="19" t="s">
        <v>62</v>
      </c>
      <c r="D23" s="20" t="s">
        <v>63</v>
      </c>
      <c r="E23" s="20" t="s">
        <v>64</v>
      </c>
      <c r="F23" s="27">
        <v>12</v>
      </c>
      <c r="G23" s="52"/>
    </row>
    <row r="24" spans="1:7" ht="48" customHeight="1" x14ac:dyDescent="0.15">
      <c r="A24" s="46"/>
      <c r="B24" s="46"/>
      <c r="C24" s="19" t="s">
        <v>65</v>
      </c>
      <c r="D24" s="20" t="s">
        <v>66</v>
      </c>
      <c r="E24" s="20" t="s">
        <v>67</v>
      </c>
      <c r="F24" s="27">
        <v>13</v>
      </c>
      <c r="G24" s="52"/>
    </row>
    <row r="25" spans="1:7" ht="48" customHeight="1" x14ac:dyDescent="0.15">
      <c r="A25" s="46">
        <v>6</v>
      </c>
      <c r="B25" s="46" t="s">
        <v>76</v>
      </c>
      <c r="C25" s="19" t="s">
        <v>69</v>
      </c>
      <c r="D25" s="20" t="s">
        <v>70</v>
      </c>
      <c r="E25" s="20" t="s">
        <v>71</v>
      </c>
      <c r="F25" s="27">
        <v>8</v>
      </c>
      <c r="G25" s="52">
        <f>SUM(F25:F27)</f>
        <v>25</v>
      </c>
    </row>
    <row r="26" spans="1:7" ht="48" customHeight="1" x14ac:dyDescent="0.15">
      <c r="A26" s="46"/>
      <c r="B26" s="46"/>
      <c r="C26" s="19" t="s">
        <v>72</v>
      </c>
      <c r="D26" s="20" t="s">
        <v>73</v>
      </c>
      <c r="E26" s="20" t="s">
        <v>74</v>
      </c>
      <c r="F26" s="27">
        <v>10</v>
      </c>
      <c r="G26" s="52"/>
    </row>
    <row r="27" spans="1:7" ht="48" customHeight="1" x14ac:dyDescent="0.15">
      <c r="A27" s="46"/>
      <c r="B27" s="46"/>
      <c r="C27" s="19" t="s">
        <v>11</v>
      </c>
      <c r="D27" s="20" t="s">
        <v>75</v>
      </c>
      <c r="E27" s="20" t="s">
        <v>12</v>
      </c>
      <c r="F27" s="27">
        <v>7</v>
      </c>
      <c r="G27" s="52"/>
    </row>
    <row r="28" spans="1:7" ht="48" customHeight="1" x14ac:dyDescent="0.15">
      <c r="A28" s="46">
        <v>7</v>
      </c>
      <c r="B28" s="46" t="s">
        <v>90</v>
      </c>
      <c r="C28" s="19" t="s">
        <v>13</v>
      </c>
      <c r="D28" s="20" t="s">
        <v>77</v>
      </c>
      <c r="E28" s="20" t="s">
        <v>14</v>
      </c>
      <c r="F28" s="27">
        <v>10</v>
      </c>
      <c r="G28" s="52">
        <f>SUM(F28:F32)</f>
        <v>45</v>
      </c>
    </row>
    <row r="29" spans="1:7" ht="48" customHeight="1" x14ac:dyDescent="0.15">
      <c r="A29" s="46"/>
      <c r="B29" s="46"/>
      <c r="C29" s="19" t="s">
        <v>78</v>
      </c>
      <c r="D29" s="20" t="s">
        <v>79</v>
      </c>
      <c r="E29" s="20" t="s">
        <v>80</v>
      </c>
      <c r="F29" s="27">
        <v>12</v>
      </c>
      <c r="G29" s="52"/>
    </row>
    <row r="30" spans="1:7" ht="48" customHeight="1" x14ac:dyDescent="0.15">
      <c r="A30" s="46"/>
      <c r="B30" s="46"/>
      <c r="C30" s="19" t="s">
        <v>81</v>
      </c>
      <c r="D30" s="20" t="s">
        <v>82</v>
      </c>
      <c r="E30" s="20" t="s">
        <v>83</v>
      </c>
      <c r="F30" s="27">
        <v>10</v>
      </c>
      <c r="G30" s="52"/>
    </row>
    <row r="31" spans="1:7" ht="48" customHeight="1" x14ac:dyDescent="0.15">
      <c r="A31" s="46"/>
      <c r="B31" s="46"/>
      <c r="C31" s="19" t="s">
        <v>84</v>
      </c>
      <c r="D31" s="20" t="s">
        <v>85</v>
      </c>
      <c r="E31" s="20" t="s">
        <v>86</v>
      </c>
      <c r="F31" s="27">
        <v>8</v>
      </c>
      <c r="G31" s="52"/>
    </row>
    <row r="32" spans="1:7" ht="48" customHeight="1" x14ac:dyDescent="0.15">
      <c r="A32" s="46"/>
      <c r="B32" s="46"/>
      <c r="C32" s="19" t="s">
        <v>87</v>
      </c>
      <c r="D32" s="20" t="s">
        <v>88</v>
      </c>
      <c r="E32" s="20" t="s">
        <v>89</v>
      </c>
      <c r="F32" s="27">
        <v>5</v>
      </c>
      <c r="G32" s="52"/>
    </row>
    <row r="33" spans="1:7" ht="48" customHeight="1" x14ac:dyDescent="0.15">
      <c r="A33" s="46">
        <v>8</v>
      </c>
      <c r="B33" s="46" t="s">
        <v>100</v>
      </c>
      <c r="C33" s="19" t="s">
        <v>91</v>
      </c>
      <c r="D33" s="20" t="s">
        <v>92</v>
      </c>
      <c r="E33" s="20" t="s">
        <v>93</v>
      </c>
      <c r="F33" s="27">
        <v>5</v>
      </c>
      <c r="G33" s="52">
        <f>SUM(F33:F35)</f>
        <v>15</v>
      </c>
    </row>
    <row r="34" spans="1:7" ht="48" customHeight="1" x14ac:dyDescent="0.15">
      <c r="A34" s="46"/>
      <c r="B34" s="46"/>
      <c r="C34" s="19" t="s">
        <v>94</v>
      </c>
      <c r="D34" s="20" t="s">
        <v>95</v>
      </c>
      <c r="E34" s="20" t="s">
        <v>96</v>
      </c>
      <c r="F34" s="27">
        <v>5</v>
      </c>
      <c r="G34" s="52"/>
    </row>
    <row r="35" spans="1:7" ht="48" customHeight="1" x14ac:dyDescent="0.15">
      <c r="A35" s="46"/>
      <c r="B35" s="46"/>
      <c r="C35" s="19" t="s">
        <v>97</v>
      </c>
      <c r="D35" s="20" t="s">
        <v>98</v>
      </c>
      <c r="E35" s="20" t="s">
        <v>99</v>
      </c>
      <c r="F35" s="27">
        <v>5</v>
      </c>
      <c r="G35" s="52"/>
    </row>
    <row r="36" spans="1:7" ht="48" customHeight="1" x14ac:dyDescent="0.15">
      <c r="A36" s="46">
        <v>9</v>
      </c>
      <c r="B36" s="46" t="s">
        <v>108</v>
      </c>
      <c r="C36" s="19" t="s">
        <v>101</v>
      </c>
      <c r="D36" s="20" t="s">
        <v>102</v>
      </c>
      <c r="E36" s="20" t="s">
        <v>103</v>
      </c>
      <c r="F36" s="27">
        <v>5</v>
      </c>
      <c r="G36" s="52">
        <f>SUM(F36:F38)</f>
        <v>15</v>
      </c>
    </row>
    <row r="37" spans="1:7" ht="48" customHeight="1" x14ac:dyDescent="0.15">
      <c r="A37" s="46"/>
      <c r="B37" s="46"/>
      <c r="C37" s="19" t="s">
        <v>104</v>
      </c>
      <c r="D37" s="20" t="s">
        <v>105</v>
      </c>
      <c r="E37" s="20" t="s">
        <v>106</v>
      </c>
      <c r="F37" s="27">
        <v>5</v>
      </c>
      <c r="G37" s="52"/>
    </row>
    <row r="38" spans="1:7" ht="48" customHeight="1" x14ac:dyDescent="0.15">
      <c r="A38" s="46"/>
      <c r="B38" s="46"/>
      <c r="C38" s="19" t="s">
        <v>15</v>
      </c>
      <c r="D38" s="20" t="s">
        <v>107</v>
      </c>
      <c r="E38" s="20" t="s">
        <v>16</v>
      </c>
      <c r="F38" s="27">
        <v>5</v>
      </c>
      <c r="G38" s="52"/>
    </row>
    <row r="39" spans="1:7" ht="44.1" customHeight="1" x14ac:dyDescent="0.15">
      <c r="A39" s="40"/>
      <c r="B39" s="40"/>
      <c r="C39" s="19"/>
      <c r="D39" s="20"/>
      <c r="E39" s="20"/>
      <c r="F39" s="27"/>
      <c r="G39" s="26"/>
    </row>
    <row r="40" spans="1:7" ht="44.1" customHeight="1" x14ac:dyDescent="0.15">
      <c r="A40" s="40"/>
      <c r="B40" s="40"/>
      <c r="C40" s="19"/>
      <c r="D40" s="20"/>
      <c r="E40" s="24" t="s">
        <v>9</v>
      </c>
      <c r="F40" s="29" t="s">
        <v>10</v>
      </c>
      <c r="G40" s="29" t="s">
        <v>109</v>
      </c>
    </row>
    <row r="41" spans="1:7" ht="44.1" customHeight="1" x14ac:dyDescent="0.15">
      <c r="A41" s="40"/>
      <c r="B41" s="40"/>
      <c r="C41" s="19"/>
      <c r="D41" s="20"/>
      <c r="E41" s="44">
        <v>1100</v>
      </c>
      <c r="F41" s="27">
        <f>SUM(F3:F38)</f>
        <v>780</v>
      </c>
      <c r="G41" s="26">
        <f>E41*F41</f>
        <v>858000</v>
      </c>
    </row>
    <row r="42" spans="1:7" ht="44.1" customHeight="1" x14ac:dyDescent="0.15">
      <c r="A42" s="40"/>
      <c r="B42" s="40"/>
      <c r="C42" s="19"/>
      <c r="D42" s="20"/>
      <c r="E42" s="53" t="str">
        <f>"3D双场景研发最终报价（不含硬件）："&amp;TEXT(G41,"#,##0")&amp;" 元"</f>
        <v>3D双场景研发最终报价（不含硬件）：858,000 元</v>
      </c>
      <c r="F42" s="54"/>
      <c r="G42" s="54"/>
    </row>
    <row r="43" spans="1:7" ht="44.1" customHeight="1" x14ac:dyDescent="0.15">
      <c r="A43" s="40"/>
      <c r="B43" s="40"/>
      <c r="C43" s="19"/>
      <c r="D43" s="20"/>
      <c r="E43" s="20"/>
      <c r="F43" s="27"/>
      <c r="G43" s="26"/>
    </row>
    <row r="44" spans="1:7" ht="44.1" customHeight="1" x14ac:dyDescent="0.15">
      <c r="A44" s="40"/>
      <c r="B44" s="40"/>
      <c r="C44" s="19"/>
      <c r="D44" s="20"/>
      <c r="E44" s="20"/>
      <c r="F44" s="27"/>
      <c r="G44" s="26"/>
    </row>
    <row r="45" spans="1:7" ht="44.1" customHeight="1" x14ac:dyDescent="0.15">
      <c r="A45" s="40"/>
      <c r="B45" s="40"/>
      <c r="C45" s="19"/>
      <c r="D45" s="20"/>
      <c r="E45" s="20"/>
      <c r="F45" s="27"/>
      <c r="G45" s="26"/>
    </row>
    <row r="46" spans="1:7" ht="44.1" customHeight="1" x14ac:dyDescent="0.15">
      <c r="A46" s="40"/>
      <c r="B46" s="40"/>
      <c r="C46" s="19"/>
      <c r="D46" s="20"/>
      <c r="E46" s="20"/>
      <c r="F46" s="27"/>
      <c r="G46" s="26"/>
    </row>
    <row r="47" spans="1:7" ht="44.1" customHeight="1" x14ac:dyDescent="0.15">
      <c r="A47" s="40"/>
      <c r="B47" s="40"/>
      <c r="C47" s="19"/>
      <c r="D47" s="20"/>
      <c r="E47" s="20"/>
      <c r="F47" s="27"/>
      <c r="G47" s="26"/>
    </row>
    <row r="48" spans="1:7" ht="44.1" customHeight="1" x14ac:dyDescent="0.15">
      <c r="A48" s="40"/>
      <c r="B48" s="40"/>
      <c r="C48" s="19"/>
      <c r="D48" s="20"/>
      <c r="E48" s="20"/>
      <c r="F48" s="27"/>
      <c r="G48" s="26"/>
    </row>
    <row r="49" spans="1:7" ht="44.1" customHeight="1" x14ac:dyDescent="0.15">
      <c r="A49" s="40"/>
      <c r="B49" s="40"/>
      <c r="C49" s="19"/>
      <c r="D49" s="20"/>
      <c r="E49" s="20"/>
      <c r="F49" s="27"/>
      <c r="G49" s="26"/>
    </row>
    <row r="50" spans="1:7" ht="44.1" customHeight="1" x14ac:dyDescent="0.15">
      <c r="A50" s="40"/>
      <c r="B50" s="40"/>
      <c r="C50" s="19"/>
      <c r="D50" s="20"/>
      <c r="E50" s="20"/>
      <c r="F50" s="27"/>
      <c r="G50" s="26"/>
    </row>
    <row r="51" spans="1:7" ht="44.1" customHeight="1" x14ac:dyDescent="0.15">
      <c r="A51" s="40"/>
      <c r="B51" s="40"/>
      <c r="C51" s="22"/>
      <c r="D51" s="20"/>
      <c r="E51" s="20"/>
      <c r="F51" s="26"/>
      <c r="G51" s="26"/>
    </row>
    <row r="52" spans="1:7" ht="16.5" x14ac:dyDescent="0.15">
      <c r="A52" s="7"/>
      <c r="B52" s="7"/>
      <c r="C52" s="8"/>
      <c r="D52" s="3"/>
      <c r="E52" s="3"/>
      <c r="F52" s="28"/>
      <c r="G52" s="28"/>
    </row>
    <row r="53" spans="1:7" ht="16.5" x14ac:dyDescent="0.15">
      <c r="A53" s="2"/>
      <c r="B53" s="2"/>
      <c r="C53" s="8"/>
      <c r="D53" s="5"/>
      <c r="E53" s="24"/>
      <c r="F53" s="29"/>
      <c r="G53" s="29"/>
    </row>
    <row r="54" spans="1:7" ht="16.5" x14ac:dyDescent="0.15">
      <c r="A54" s="2"/>
      <c r="B54" s="2"/>
      <c r="C54" s="8"/>
      <c r="D54" s="5"/>
      <c r="E54" s="25"/>
      <c r="F54" s="30"/>
      <c r="G54" s="31"/>
    </row>
    <row r="55" spans="1:7" ht="16.5" customHeight="1" x14ac:dyDescent="0.15">
      <c r="A55" s="2"/>
      <c r="B55" s="2"/>
      <c r="C55" s="8"/>
      <c r="D55" s="5"/>
      <c r="E55" s="25"/>
      <c r="F55" s="30"/>
      <c r="G55" s="30"/>
    </row>
    <row r="56" spans="1:7" ht="16.5" x14ac:dyDescent="0.15">
      <c r="A56" s="2"/>
      <c r="B56" s="2"/>
      <c r="C56" s="8"/>
      <c r="D56" s="5"/>
      <c r="E56" s="5"/>
      <c r="F56" s="5"/>
      <c r="G56" s="4"/>
    </row>
    <row r="57" spans="1:7" ht="16.5" x14ac:dyDescent="0.15">
      <c r="A57" s="2"/>
      <c r="B57" s="2"/>
      <c r="C57" s="8"/>
      <c r="D57" s="5"/>
      <c r="E57" s="5"/>
      <c r="F57" s="5"/>
      <c r="G57" s="4"/>
    </row>
    <row r="58" spans="1:7" ht="16.5" x14ac:dyDescent="0.15">
      <c r="A58" s="9"/>
      <c r="B58" s="9"/>
      <c r="C58" s="8"/>
      <c r="D58" s="5"/>
      <c r="E58" s="5"/>
      <c r="F58" s="5"/>
      <c r="G58" s="10"/>
    </row>
    <row r="59" spans="1:7" ht="16.5" x14ac:dyDescent="0.15">
      <c r="A59" s="11"/>
      <c r="B59" s="11"/>
      <c r="C59" s="8"/>
      <c r="D59" s="5"/>
      <c r="E59" s="5"/>
      <c r="F59" s="5"/>
      <c r="G59" s="12"/>
    </row>
    <row r="60" spans="1:7" ht="16.5" x14ac:dyDescent="0.15">
      <c r="A60" s="11"/>
      <c r="B60" s="11"/>
      <c r="C60" s="8"/>
      <c r="D60" s="5"/>
      <c r="E60" s="5"/>
      <c r="F60" s="5"/>
      <c r="G60" s="12"/>
    </row>
    <row r="61" spans="1:7" ht="16.5" x14ac:dyDescent="0.15">
      <c r="A61" s="11"/>
      <c r="B61" s="11"/>
      <c r="C61" s="8"/>
      <c r="D61" s="5"/>
      <c r="E61" s="5"/>
      <c r="F61" s="5"/>
      <c r="G61" s="12"/>
    </row>
    <row r="62" spans="1:7" ht="16.5" x14ac:dyDescent="0.15">
      <c r="A62" s="13"/>
      <c r="B62" s="13"/>
      <c r="C62" s="8"/>
      <c r="D62" s="5"/>
      <c r="E62" s="5"/>
      <c r="F62" s="5"/>
      <c r="G62" s="14"/>
    </row>
    <row r="63" spans="1:7" ht="16.5" x14ac:dyDescent="0.15">
      <c r="A63" s="15"/>
      <c r="B63" s="15"/>
      <c r="C63" s="15"/>
      <c r="D63" s="15"/>
      <c r="E63" s="16"/>
      <c r="F63" s="16"/>
      <c r="G63" s="16"/>
    </row>
    <row r="64" spans="1:7" ht="16.5" x14ac:dyDescent="0.15">
      <c r="A64" s="15"/>
      <c r="B64" s="15"/>
      <c r="C64" s="15"/>
      <c r="D64" s="15"/>
      <c r="E64" s="5"/>
      <c r="F64" s="5"/>
      <c r="G64" s="5"/>
    </row>
    <row r="65" spans="1:7" ht="16.5" x14ac:dyDescent="0.15">
      <c r="A65" s="15"/>
      <c r="B65" s="15"/>
      <c r="C65" s="15"/>
      <c r="D65" s="15"/>
      <c r="E65" s="17"/>
      <c r="F65" s="17"/>
      <c r="G65" s="17"/>
    </row>
  </sheetData>
  <mergeCells count="29">
    <mergeCell ref="E42:G42"/>
    <mergeCell ref="B33:B35"/>
    <mergeCell ref="G33:G35"/>
    <mergeCell ref="A36:A38"/>
    <mergeCell ref="B36:B38"/>
    <mergeCell ref="G36:G38"/>
    <mergeCell ref="A33:A35"/>
    <mergeCell ref="A10:A14"/>
    <mergeCell ref="B10:B14"/>
    <mergeCell ref="G10:G14"/>
    <mergeCell ref="A15:A19"/>
    <mergeCell ref="B15:B19"/>
    <mergeCell ref="G15:G19"/>
    <mergeCell ref="A28:A32"/>
    <mergeCell ref="A1:G1"/>
    <mergeCell ref="A3:A5"/>
    <mergeCell ref="B3:B5"/>
    <mergeCell ref="G3:G5"/>
    <mergeCell ref="A6:A9"/>
    <mergeCell ref="B6:B9"/>
    <mergeCell ref="G6:G9"/>
    <mergeCell ref="B28:B32"/>
    <mergeCell ref="G28:G32"/>
    <mergeCell ref="A20:A24"/>
    <mergeCell ref="B20:B24"/>
    <mergeCell ref="G20:G24"/>
    <mergeCell ref="A25:A27"/>
    <mergeCell ref="B25:B27"/>
    <mergeCell ref="G25:G27"/>
  </mergeCells>
  <phoneticPr fontId="8" type="noConversion"/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8"/>
  <sheetViews>
    <sheetView topLeftCell="A10" workbookViewId="0">
      <selection activeCell="A17" sqref="A17:D18"/>
    </sheetView>
  </sheetViews>
  <sheetFormatPr defaultColWidth="8.875" defaultRowHeight="13.5" x14ac:dyDescent="0.15"/>
  <cols>
    <col min="1" max="1" width="20.625" customWidth="1"/>
    <col min="2" max="2" width="70.625" customWidth="1"/>
    <col min="3" max="3" width="16.625" customWidth="1"/>
    <col min="4" max="4" width="18.625" customWidth="1"/>
  </cols>
  <sheetData>
    <row r="1" spans="1:4" ht="24" customHeight="1" x14ac:dyDescent="0.15">
      <c r="A1" s="73" t="s">
        <v>195</v>
      </c>
      <c r="B1" s="74"/>
      <c r="C1" s="74"/>
      <c r="D1" s="74"/>
    </row>
    <row r="2" spans="1:4" ht="15" x14ac:dyDescent="0.15">
      <c r="A2" s="24" t="s">
        <v>110</v>
      </c>
      <c r="B2" s="32" t="s">
        <v>111</v>
      </c>
      <c r="C2" s="32" t="s">
        <v>112</v>
      </c>
      <c r="D2" s="32" t="s">
        <v>113</v>
      </c>
    </row>
    <row r="3" spans="1:4" ht="48" customHeight="1" x14ac:dyDescent="0.15">
      <c r="A3" s="42" t="s">
        <v>114</v>
      </c>
      <c r="B3" s="33" t="s">
        <v>115</v>
      </c>
      <c r="C3" s="26" t="s">
        <v>116</v>
      </c>
      <c r="D3" s="23" t="s">
        <v>117</v>
      </c>
    </row>
    <row r="4" spans="1:4" ht="48" customHeight="1" x14ac:dyDescent="0.15">
      <c r="A4" s="42" t="s">
        <v>118</v>
      </c>
      <c r="B4" s="33" t="s">
        <v>158</v>
      </c>
      <c r="C4" s="26" t="s">
        <v>116</v>
      </c>
      <c r="D4" s="23" t="s">
        <v>119</v>
      </c>
    </row>
    <row r="5" spans="1:4" ht="48" customHeight="1" x14ac:dyDescent="0.15">
      <c r="A5" s="42" t="s">
        <v>118</v>
      </c>
      <c r="B5" s="33" t="s">
        <v>159</v>
      </c>
      <c r="C5" s="26" t="s">
        <v>116</v>
      </c>
      <c r="D5" s="23" t="s">
        <v>119</v>
      </c>
    </row>
    <row r="6" spans="1:4" ht="48" customHeight="1" x14ac:dyDescent="0.15">
      <c r="A6" s="42" t="s">
        <v>120</v>
      </c>
      <c r="B6" s="33" t="s">
        <v>121</v>
      </c>
      <c r="C6" s="26" t="s">
        <v>116</v>
      </c>
      <c r="D6" s="23" t="s">
        <v>122</v>
      </c>
    </row>
    <row r="7" spans="1:4" ht="48" customHeight="1" x14ac:dyDescent="0.15">
      <c r="A7" s="42" t="s">
        <v>123</v>
      </c>
      <c r="B7" s="33" t="s">
        <v>124</v>
      </c>
      <c r="C7" s="35" t="s">
        <v>116</v>
      </c>
      <c r="D7" s="34" t="s">
        <v>125</v>
      </c>
    </row>
    <row r="8" spans="1:4" ht="48" customHeight="1" x14ac:dyDescent="0.15">
      <c r="A8" s="42" t="s">
        <v>126</v>
      </c>
      <c r="B8" s="33" t="s">
        <v>127</v>
      </c>
      <c r="C8" s="26" t="s">
        <v>116</v>
      </c>
      <c r="D8" s="23" t="s">
        <v>128</v>
      </c>
    </row>
    <row r="9" spans="1:4" ht="48" customHeight="1" x14ac:dyDescent="0.15">
      <c r="A9" s="42" t="s">
        <v>196</v>
      </c>
      <c r="B9" s="33" t="s">
        <v>197</v>
      </c>
      <c r="C9" s="26" t="s">
        <v>198</v>
      </c>
      <c r="D9" s="23" t="s">
        <v>199</v>
      </c>
    </row>
    <row r="10" spans="1:4" ht="48" customHeight="1" x14ac:dyDescent="0.15">
      <c r="A10" s="43" t="s">
        <v>129</v>
      </c>
      <c r="B10" s="33" t="s">
        <v>131</v>
      </c>
      <c r="C10" s="26" t="s">
        <v>130</v>
      </c>
      <c r="D10" s="23" t="s">
        <v>132</v>
      </c>
    </row>
    <row r="11" spans="1:4" ht="48" customHeight="1" x14ac:dyDescent="0.15">
      <c r="A11" s="43" t="s">
        <v>133</v>
      </c>
      <c r="B11" s="33" t="s">
        <v>134</v>
      </c>
      <c r="C11" s="26" t="s">
        <v>130</v>
      </c>
      <c r="D11" s="23" t="s">
        <v>135</v>
      </c>
    </row>
    <row r="12" spans="1:4" ht="48" customHeight="1" x14ac:dyDescent="0.15">
      <c r="A12" s="43"/>
      <c r="B12" s="33"/>
      <c r="C12" s="26"/>
      <c r="D12" s="23"/>
    </row>
    <row r="13" spans="1:4" ht="48" customHeight="1" x14ac:dyDescent="0.15">
      <c r="A13" s="55" t="s">
        <v>200</v>
      </c>
      <c r="B13" s="55"/>
      <c r="C13" s="55"/>
      <c r="D13" s="55"/>
    </row>
    <row r="14" spans="1:4" ht="48" customHeight="1" x14ac:dyDescent="0.15">
      <c r="A14" s="56" t="s">
        <v>136</v>
      </c>
      <c r="B14" s="56"/>
      <c r="C14" s="26">
        <f>工作量估算和报价!F41</f>
        <v>780</v>
      </c>
      <c r="D14" s="23" t="s">
        <v>137</v>
      </c>
    </row>
    <row r="15" spans="1:4" ht="48" customHeight="1" x14ac:dyDescent="0.15">
      <c r="A15" s="56" t="s">
        <v>138</v>
      </c>
      <c r="B15" s="56"/>
      <c r="C15" s="26">
        <f>工作量估算和报价!E41</f>
        <v>1100</v>
      </c>
      <c r="D15" s="23" t="s">
        <v>139</v>
      </c>
    </row>
    <row r="16" spans="1:4" ht="48" customHeight="1" x14ac:dyDescent="0.15">
      <c r="A16" s="64" t="s">
        <v>201</v>
      </c>
      <c r="B16" s="64"/>
      <c r="C16" s="65">
        <v>858000</v>
      </c>
      <c r="D16" s="66" t="s">
        <v>202</v>
      </c>
    </row>
    <row r="17" spans="1:4" ht="30" customHeight="1" x14ac:dyDescent="0.15">
      <c r="A17" s="67" t="s">
        <v>203</v>
      </c>
      <c r="B17" s="67"/>
      <c r="C17" s="68">
        <f>硬件配置及报价!G11</f>
        <v>29800</v>
      </c>
      <c r="D17" s="69" t="s">
        <v>204</v>
      </c>
    </row>
    <row r="18" spans="1:4" ht="32.1" customHeight="1" x14ac:dyDescent="0.15">
      <c r="A18" s="70" t="s">
        <v>205</v>
      </c>
      <c r="B18" s="70"/>
      <c r="C18" s="71">
        <f>C16+C17</f>
        <v>887800</v>
      </c>
      <c r="D18" s="72" t="s">
        <v>206</v>
      </c>
    </row>
    <row r="19" spans="1:4" ht="38.1" customHeight="1" x14ac:dyDescent="0.15">
      <c r="A19" s="24"/>
      <c r="B19" s="32"/>
      <c r="C19" s="29"/>
      <c r="D19" s="32"/>
    </row>
    <row r="20" spans="1:4" ht="38.1" customHeight="1" x14ac:dyDescent="0.15">
      <c r="A20" s="23"/>
      <c r="B20" s="33"/>
      <c r="C20" s="26"/>
      <c r="D20" s="33"/>
    </row>
    <row r="21" spans="1:4" ht="38.1" customHeight="1" x14ac:dyDescent="0.15">
      <c r="A21" s="23"/>
      <c r="B21" s="33"/>
      <c r="C21" s="26"/>
      <c r="D21" s="33"/>
    </row>
    <row r="22" spans="1:4" ht="38.1" customHeight="1" x14ac:dyDescent="0.15">
      <c r="A22" s="23"/>
      <c r="B22" s="33"/>
      <c r="C22" s="26"/>
      <c r="D22" s="33"/>
    </row>
    <row r="23" spans="1:4" ht="38.1" customHeight="1" x14ac:dyDescent="0.15">
      <c r="A23" s="23"/>
      <c r="B23" s="33"/>
      <c r="C23" s="26"/>
      <c r="D23" s="33"/>
    </row>
    <row r="24" spans="1:4" ht="38.1" customHeight="1" x14ac:dyDescent="0.15">
      <c r="A24" s="23"/>
      <c r="B24" s="33"/>
      <c r="C24" s="26"/>
      <c r="D24" s="33"/>
    </row>
    <row r="25" spans="1:4" ht="38.1" customHeight="1" x14ac:dyDescent="0.15">
      <c r="A25" s="40"/>
      <c r="B25" s="36"/>
      <c r="C25" s="37"/>
      <c r="D25" s="36"/>
    </row>
    <row r="26" spans="1:4" ht="38.1" customHeight="1" x14ac:dyDescent="0.15">
      <c r="A26" s="40"/>
      <c r="B26" s="36"/>
      <c r="C26" s="37"/>
      <c r="D26" s="36"/>
    </row>
    <row r="27" spans="1:4" ht="38.1" customHeight="1" x14ac:dyDescent="0.15">
      <c r="A27" s="41"/>
      <c r="B27" s="38"/>
      <c r="C27" s="39"/>
      <c r="D27" s="38"/>
    </row>
    <row r="28" spans="1:4" ht="38.1" customHeight="1" x14ac:dyDescent="0.15">
      <c r="A28" s="23"/>
      <c r="B28" s="33"/>
      <c r="C28" s="26"/>
      <c r="D28" s="33"/>
    </row>
  </sheetData>
  <mergeCells count="7">
    <mergeCell ref="A17:B17"/>
    <mergeCell ref="A18:B18"/>
    <mergeCell ref="A1:D1"/>
    <mergeCell ref="A13:D13"/>
    <mergeCell ref="A14:B14"/>
    <mergeCell ref="A15:B15"/>
    <mergeCell ref="A16:B16"/>
  </mergeCells>
  <phoneticPr fontId="14" type="noConversion"/>
  <pageMargins left="0.75" right="0.75" top="1" bottom="1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硬件配置及报价</vt:lpstr>
      <vt:lpstr>工作量估算和报价</vt:lpstr>
      <vt:lpstr>报价说明及范围边界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TFKJ</cp:lastModifiedBy>
  <dcterms:created xsi:type="dcterms:W3CDTF">2023-05-12T11:15:00Z</dcterms:created>
  <dcterms:modified xsi:type="dcterms:W3CDTF">2026-07-24T10:39:16Z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
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工作量估算和报价" sheetId="1" r:id="rId1"/>
    <sheet name="服务器配置推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<sst xmlns="http://schemas.openxmlformats.org/spreadsheetml/2006/main" count="182" uniqueCount="166">
  <si>
    <t>xxx小程序-软件开发项目工作量估算和报价</t>
  </si>
  <si>
    <t>序号</t>
  </si>
  <si>
    <t>大类</t>
  </si>
  <si>
    <t>小类</t>
  </si>
  <si>
    <t>描述</t>
  </si>
  <si>
    <t>验收标准</t>
  </si>
  <si>
    <t>工作量(人天)</t>
  </si>
  <si>
    <t>工作量小计(人天)</t>
  </si>
  <si>
    <t>需求分析</t>
  </si>
  <si>
    <t>调研</t>
  </si>
  <si>
    <t>1. 调研：调查用户群体和目标用户的特点
2. 调研市场现状和竞争对手情况</t>
  </si>
  <si>
    <t>-</t>
  </si>
  <si>
    <t>分析</t>
  </si>
  <si>
    <t>1. 分析：收集和整理用户需求和功能需求
2. 与项目方对接确定项目功能需求边界功能清单和验收标准、优先级</t>
  </si>
  <si>
    <t>方案设计</t>
  </si>
  <si>
    <t>1. 方案设计：初步思路和方案设计
2. 确定技术方案和平台选择
3. 制定项目进度和交付计划</t>
  </si>
  <si>
    <t>系统设计</t>
  </si>
  <si>
    <t>架构设计</t>
  </si>
  <si>
    <t>1. 架构设计：确定系统整体结构和模块划分
2. 设计系统的层次结构和模块之间的关系</t>
  </si>
  <si>
    <t>概要设计</t>
  </si>
  <si>
    <t>1. 概要设计：设计系统的主要功能模块与流程
2. 确定数据流程和业务流程</t>
  </si>
  <si>
    <t>原型设计</t>
  </si>
  <si>
    <t>1. 原型设计：制作系统的交互原型和界面设计
2. 用户界面设计和页面布局设计</t>
  </si>
  <si>
    <t>UI设计</t>
  </si>
  <si>
    <t>1. UI设计：设计用户界面的风格、色彩、图标等
2. 确定整体UI风格和用户体验设计</t>
  </si>
  <si>
    <t>数据库设计</t>
  </si>
  <si>
    <t>1. 数据库设计：设计数据库结构和数据表
2. 确定数据存储方式和关系</t>
  </si>
  <si>
    <t>用户端
微信小程序程序开发</t>
  </si>
  <si>
    <t>登录页面</t>
  </si>
  <si>
    <t>用户登录：用户输入手机号和密码进行登录</t>
  </si>
  <si>
    <t>用户能成功登录并跳转到入口页面</t>
  </si>
  <si>
    <t>用户注册：用户通过手机号和验证码进行注册</t>
  </si>
  <si>
    <t>新用户能成功注册并跳转到登录页面</t>
  </si>
  <si>
    <t>找回密码：用户通过手机号和验证码找回密码</t>
  </si>
  <si>
    <t>用户能成功重置密码并重新登录</t>
  </si>
  <si>
    <t>用户信息初始化：新用户首次登录后，填写并保存个人信息（姓名、出生年月日等）</t>
  </si>
  <si>
    <t>用户信息能成功保存并显示在个人中心</t>
  </si>
  <si>
    <t>入口页面</t>
  </si>
  <si>
    <t>欢迎页面：欢迎用户的登录，显示应用简介和功能说明</t>
  </si>
  <si>
    <t>欢迎页面加载正常，无卡顿及错误</t>
  </si>
  <si>
    <t>引导说明：引导用户如何使用应用功能</t>
  </si>
  <si>
    <t>引导说明清晰，用户可以理解</t>
  </si>
  <si>
    <t>抽签入口：进入抽签页面的入口按钮</t>
  </si>
  <si>
    <t>按钮可点击且能成功跳转到抽签页面</t>
  </si>
  <si>
    <t>个人中心入口：进入个人中心（我的）的入口按钮</t>
  </si>
  <si>
    <t>按钮可点击且能成功跳转到个人中心</t>
  </si>
  <si>
    <t>抽签页面</t>
  </si>
  <si>
    <t>抽签动画效果：抽签时的动画效果（抽签过程）</t>
  </si>
  <si>
    <t>抽签动画效果平滑，无卡顿及错误</t>
  </si>
  <si>
    <t>选择签文类别：提供签文类别选项（如事业、爱情等）</t>
  </si>
  <si>
    <t>用户能成功选择签文类别</t>
  </si>
  <si>
    <t>触发抽签：点击按钮或其他方式触发抽签</t>
  </si>
  <si>
    <t>抽签能成功触发并显示结果</t>
  </si>
  <si>
    <t>抽签结果展示页面</t>
  </si>
  <si>
    <t>显示签文结果：抽签结果显示，包含签文内容和简要解读</t>
  </si>
  <si>
    <t>签文结果能正常显示，内容清晰且完整</t>
  </si>
  <si>
    <t>签文解读：提供完整的签文解读内容</t>
  </si>
  <si>
    <t>签文解读内容与结果匹配，解释清晰</t>
  </si>
  <si>
    <t>分享签文：用户可以将签文分享至社交媒体或微信好友</t>
  </si>
  <si>
    <t>签文能成功通过各渠道分享</t>
  </si>
  <si>
    <t>保存签文：用户可以将签文保存到个人记录</t>
  </si>
  <si>
    <t>签文能保存且在签文记录页面可查看</t>
  </si>
  <si>
    <t>抽签记录页面</t>
  </si>
  <si>
    <t>历史签文记录：显示用户的抽签历史记录</t>
  </si>
  <si>
    <t>历史记录能完整显示，内容和次数正确</t>
  </si>
  <si>
    <t>签文详情查看：查看每条签文的详细内容和解读</t>
  </si>
  <si>
    <t>签文详情能完整显示，内容无误</t>
  </si>
  <si>
    <t>删除签文记录：用户可以删除不需要的签文记录</t>
  </si>
  <si>
    <t>记录能成功删除，不再显示在历史记录列表</t>
  </si>
  <si>
    <t>五行穿衣启动页面</t>
  </si>
  <si>
    <t>介绍五行穿衣游戏的玩法和简单说明。</t>
  </si>
  <si>
    <t>游戏介绍页面加载正常，点击“开始游戏”后跳转正常</t>
  </si>
  <si>
    <t>五行穿衣输入页面</t>
  </si>
  <si>
    <t>用户在界面输入三个数字：第一个数字代表上卦，第二个数字代表下卦，第三个数字代表动爻。</t>
  </si>
  <si>
    <t>用户能够正确输入数字，非数字输入时有提示信息</t>
  </si>
  <si>
    <t>五行穿衣结果展示页面</t>
  </si>
  <si>
    <t>展示用户的计算结果，包括上卦、下卦、动爻和对应的五行结果，以及相关的五行解释和穿衣建议。</t>
  </si>
  <si>
    <t>所有计算结果正确显示，页面加载顺畅</t>
  </si>
  <si>
    <t>充值页面</t>
  </si>
  <si>
    <t>充值金额选择：用户选择充值金额档次（如10元、50元等）</t>
  </si>
  <si>
    <t>用户能成功选择金额并下一步充值</t>
  </si>
  <si>
    <t>充值方式选择：用户选择充值的支付方式（如微信支付、支付宝等）</t>
  </si>
  <si>
    <t>用户能选择支付方式并进行模拟支付</t>
  </si>
  <si>
    <t>充值记录查询：显示用户的充值记录，包括时间和金额</t>
  </si>
  <si>
    <t>充值记录正确显示，时间和金额无误</t>
  </si>
  <si>
    <t>后台管理端
PC-Web程序开发</t>
  </si>
  <si>
    <t>首页</t>
  </si>
  <si>
    <t>dashboard 汇总统计：显示应用整体统计信息（充值信息、用户信息统计、签文统计等）</t>
  </si>
  <si>
    <t>统计数据正确，页面加载无卡顿</t>
  </si>
  <si>
    <t>用户管理</t>
  </si>
  <si>
    <t>用户信息展示：列表展示所有用户的基本信息</t>
  </si>
  <si>
    <t>用户信息正确完整展示，无错漏</t>
  </si>
  <si>
    <t>用户搜索：根据条件（如用户名、手机号）搜索用户</t>
  </si>
  <si>
    <t>搜索结果正确，能够快速定位用户</t>
  </si>
  <si>
    <t>用户详情查看：查看用户的详细信息，包括历史签文记录</t>
  </si>
  <si>
    <t>用户详情展示正确，信息完整</t>
  </si>
  <si>
    <t>黑名单管理：添加或移除黑名单用户</t>
  </si>
  <si>
    <t>能成功添加和移除黑名单用户，正确限制其使用功能</t>
  </si>
  <si>
    <t>白名单管理：添加或移除白名单用户</t>
  </si>
  <si>
    <t>能成功添加和移除白名单用户，允许其特殊权限</t>
  </si>
  <si>
    <t>签文管理</t>
  </si>
  <si>
    <t>签文列表展示：列表展示所有签文，按条件筛选和排序</t>
  </si>
  <si>
    <t>签文列表完整展示，筛选和排序功能正确</t>
  </si>
  <si>
    <t>签文分类管理：管理签文类别，签文按类别分类展示</t>
  </si>
  <si>
    <t>签文按类别正确分类，类别管理功能正常</t>
  </si>
  <si>
    <t>新增签文：新增签文内容，分配签文类别</t>
  </si>
  <si>
    <t>新增签文能成功保存，展示在签文列表和相关类别中</t>
  </si>
  <si>
    <t>编辑签文：修改和更新签文内容</t>
  </si>
  <si>
    <t>签文修改能成功保存并更新展示</t>
  </si>
  <si>
    <t>删除签文：删除签文内容</t>
  </si>
  <si>
    <t>签文能成功删除，不再展示在签文列表和相关类别中</t>
  </si>
  <si>
    <t>签文搜索：根据条件搜索签文</t>
  </si>
  <si>
    <t>搜索结果正确，能够快速定位目标签文</t>
  </si>
  <si>
    <t>签文类别管理</t>
  </si>
  <si>
    <t>类别列表展示：列表展示所有签文类别</t>
  </si>
  <si>
    <t>签文类别列表完整展示，信息无误</t>
  </si>
  <si>
    <t>新增签文类别：新增签文类别，设置类别名称和描述</t>
  </si>
  <si>
    <t>类别能成功保存并展示在类别列表中</t>
  </si>
  <si>
    <t>编辑签文类别：修改和更新签文类别</t>
  </si>
  <si>
    <t>类别修改能成功保存并更新展示</t>
  </si>
  <si>
    <t>删除签文类别：删除签文类别</t>
  </si>
  <si>
    <t>类别能成功删除，不再展示在类别列表中</t>
  </si>
  <si>
    <t>系统配置管理</t>
  </si>
  <si>
    <t>抽签次数设置：设置用户每日可以抽签的次数</t>
  </si>
  <si>
    <t>可以成功设置并生效用户的抽签次数限制</t>
  </si>
  <si>
    <t>抽签次数管理：查看和管理用户的抽签次数记录</t>
  </si>
  <si>
    <t>能查看用户的抽签次数记录，可进行增删改</t>
  </si>
  <si>
    <t>系统测试</t>
  </si>
  <si>
    <t>功能测试</t>
  </si>
  <si>
    <t>验证系统功能是否符合需求</t>
  </si>
  <si>
    <t>性能测试</t>
  </si>
  <si>
    <t>评估系统的性能和稳定性</t>
  </si>
  <si>
    <t>界面测试</t>
  </si>
  <si>
    <t>检查用户体验和界面设计是否符合标准</t>
  </si>
  <si>
    <t>兼容性测试</t>
  </si>
  <si>
    <t>确保系统能在不同平台和浏览器上正常运行</t>
  </si>
  <si>
    <t>安全性测试</t>
  </si>
  <si>
    <t>评估系统的安全性及数据保护措施</t>
  </si>
  <si>
    <t>系统部署</t>
  </si>
  <si>
    <t>域名资源配置</t>
  </si>
  <si>
    <t>域名申请、备案、证书配置、转发配置</t>
  </si>
  <si>
    <t>小程序资源配置</t>
  </si>
  <si>
    <t>微信小程序申请注册、认证、接口配置</t>
  </si>
  <si>
    <t>部署环境需求</t>
  </si>
  <si>
    <t>确定部署环境需求，包括硬件配置和软件依赖</t>
  </si>
  <si>
    <t>系统部署实施</t>
  </si>
  <si>
    <t>进行系统部署实施，安装和配置系统软件依赖，搭建系统运行环境，服务启动发布</t>
  </si>
  <si>
    <t>进行数据迁移和备份</t>
  </si>
  <si>
    <t>确保数据安全性和完整性</t>
  </si>
  <si>
    <t>平均人力单价(元/人天)</t>
  </si>
  <si>
    <t>工作量合计(人天)</t>
  </si>
  <si>
    <t>价格</t>
  </si>
  <si>
    <t>最终报价：16000</t>
  </si>
  <si>
    <t>服务器信息</t>
  </si>
  <si>
    <t>实例规格</t>
  </si>
  <si>
    <t>增强配置（4vcpu 8GiB）经济型 e ，ESSD Entry 40GiB</t>
  </si>
  <si>
    <t>镜像</t>
  </si>
  <si>
    <t>CentOS 7.9 64位 (安全加固)</t>
  </si>
  <si>
    <t>带宽计费模式</t>
  </si>
  <si>
    <t>按固定带宽 带宽值 5 Mbps</t>
  </si>
  <si>
    <t>付费类型</t>
  </si>
  <si>
    <t>包年包月</t>
  </si>
  <si>
    <t>地域</t>
  </si>
  <si>
    <t>西南 1（成都）</t>
  </si>
  <si>
    <t>3月付</t>
  </si>
  <si>
    <t>1年付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</si>
</sst>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333333"/>
      <name val="微软雅黑"/>
      <charset val="134"/>
    </font>
    <font>
      <b/>
      <sz val="10"/>
      <color rgb="FF373D41"/>
      <name val="微软雅黑"/>
      <charset val="134"/>
    </font>
    <font>
      <sz val="9"/>
      <color rgb="FF373D41"/>
      <name val="微软雅黑"/>
      <charset val="134"/>
    </font>
    <font>
      <b/>
      <sz val="11"/>
      <color theme="1"/>
      <name val="微软雅黑"/>
      <charset val="134"/>
    </font>
    <font>
      <sz val="9"/>
      <color rgb="FF333333"/>
      <name val="微软雅黑"/>
      <charset val="134"/>
    </font>
    <font>
      <sz val="9"/>
      <color rgb="FF373D41"/>
      <name val="Segoe UI"/>
      <charset val="134"/>
    </font>
    <font>
      <sz val="9"/>
      <color rgb="FF333333"/>
      <name val="Segoe UI"/>
      <charset val="134"/>
    </font>
    <font>
      <b/>
      <sz val="18"/>
      <color theme="1"/>
      <name val="微软雅黑"/>
      <charset val="134"/>
    </font>
    <font>
      <b/>
      <sz val="12"/>
      <color rgb="FF393939"/>
      <name val="微软雅黑"/>
      <charset val="134"/>
    </font>
    <font>
      <b/>
      <sz val="11"/>
      <color rgb="FF393939"/>
      <name val="微软雅黑"/>
      <charset val="134"/>
    </font>
    <font>
      <sz val="11"/>
      <color rgb="FF393939"/>
      <name val="微软雅黑"/>
      <charset val="134"/>
    </font>
    <font>
      <sz val="10.5"/>
      <color rgb="FF39393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8" fontId="6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9</xdr:row>
      <xdr:rowOff>45720</xdr:rowOff>
    </xdr:from>
    <xdr:to>
      <xdr:col>4</xdr:col>
      <xdr:colOff>443230</xdr:colOff>
      <xdr:row>29</xdr:row>
      <xdr:rowOff>54610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943100"/>
          <a:ext cx="6630035" cy="3666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zoomScale="85" zoomScaleNormal="85" workbookViewId="0">
      <selection activeCell="B3" sqref="B3:B5"/>
    </sheetView>
  </sheetViews>
  <sheetFormatPr defaultColWidth="9" defaultRowHeight="14.4" outlineLevelCol="7"/>
  <cols>
    <col min="1" max="1" width="6.22222222222222" style="13" customWidth="1"/>
    <col min="2" max="2" width="20.8888888888889" customWidth="1"/>
    <col min="3" max="3" width="22.212962962963" customWidth="1"/>
    <col min="4" max="4" width="43.7777777777778" customWidth="1"/>
    <col min="5" max="5" width="32.7777777777778" customWidth="1"/>
    <col min="6" max="6" width="16.3333333333333" style="14" customWidth="1"/>
    <col min="7" max="7" width="18.1111111111111" customWidth="1"/>
  </cols>
  <sheetData>
    <row r="1" ht="45" customHeight="1" spans="1:7">
      <c r="A1" s="15" t="s">
        <v>0</v>
      </c>
      <c r="B1" s="15"/>
      <c r="C1" s="15"/>
      <c r="D1" s="15"/>
      <c r="E1" s="15"/>
      <c r="F1" s="15"/>
      <c r="G1" s="15"/>
    </row>
    <row r="2" ht="17.4" spans="1:7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</row>
    <row r="3" ht="31.2" spans="1:7">
      <c r="A3" s="17">
        <v>1</v>
      </c>
      <c r="B3" s="17" t="s">
        <v>8</v>
      </c>
      <c r="C3" s="18" t="s">
        <v>9</v>
      </c>
      <c r="D3" s="19" t="s">
        <v>10</v>
      </c>
      <c r="E3" s="20" t="s">
        <v>11</v>
      </c>
      <c r="F3" s="21">
        <v>1</v>
      </c>
      <c r="G3" s="20">
        <f>SUM(F3:F5)</f>
        <v>3</v>
      </c>
    </row>
    <row r="4" ht="46.8" spans="1:8">
      <c r="A4" s="17"/>
      <c r="B4" s="17"/>
      <c r="C4" s="18" t="s">
        <v>12</v>
      </c>
      <c r="D4" s="19" t="s">
        <v>13</v>
      </c>
      <c r="E4" s="20" t="s">
        <v>11</v>
      </c>
      <c r="F4" s="21">
        <v>1</v>
      </c>
      <c r="G4" s="20"/>
      <c r="H4" s="22"/>
    </row>
    <row r="5" ht="46.8" spans="1:8">
      <c r="A5" s="17"/>
      <c r="B5" s="17"/>
      <c r="C5" s="18" t="s">
        <v>14</v>
      </c>
      <c r="D5" s="19" t="s">
        <v>15</v>
      </c>
      <c r="E5" s="20" t="s">
        <v>11</v>
      </c>
      <c r="F5" s="21">
        <v>1</v>
      </c>
      <c r="G5" s="20"/>
      <c r="H5" s="22"/>
    </row>
    <row r="6" ht="17.4" customHeight="1" spans="1:8">
      <c r="A6" s="17">
        <v>2</v>
      </c>
      <c r="B6" s="17" t="s">
        <v>16</v>
      </c>
      <c r="C6" s="18" t="s">
        <v>17</v>
      </c>
      <c r="D6" s="19" t="s">
        <v>18</v>
      </c>
      <c r="E6" s="20" t="s">
        <v>11</v>
      </c>
      <c r="F6" s="21">
        <v>1</v>
      </c>
      <c r="G6" s="23">
        <f>SUM(F6:F10)</f>
        <v>12</v>
      </c>
      <c r="H6" s="22"/>
    </row>
    <row r="7" ht="31.2" spans="1:8">
      <c r="A7" s="17"/>
      <c r="B7" s="17"/>
      <c r="C7" s="18" t="s">
        <v>19</v>
      </c>
      <c r="D7" s="19" t="s">
        <v>20</v>
      </c>
      <c r="E7" s="20" t="s">
        <v>11</v>
      </c>
      <c r="F7" s="21">
        <v>1</v>
      </c>
      <c r="G7" s="20"/>
      <c r="H7" s="22"/>
    </row>
    <row r="8" ht="31.2" spans="1:8">
      <c r="A8" s="17"/>
      <c r="B8" s="17"/>
      <c r="C8" s="18" t="s">
        <v>21</v>
      </c>
      <c r="D8" s="19" t="s">
        <v>22</v>
      </c>
      <c r="E8" s="20" t="s">
        <v>11</v>
      </c>
      <c r="F8" s="21">
        <v>3</v>
      </c>
      <c r="G8" s="20"/>
      <c r="H8" s="22"/>
    </row>
    <row r="9" ht="31.2" spans="1:8">
      <c r="A9" s="17"/>
      <c r="B9" s="17"/>
      <c r="C9" s="18" t="s">
        <v>23</v>
      </c>
      <c r="D9" s="19" t="s">
        <v>24</v>
      </c>
      <c r="E9" s="20" t="s">
        <v>11</v>
      </c>
      <c r="F9" s="21">
        <v>5</v>
      </c>
      <c r="G9" s="20"/>
      <c r="H9" s="22"/>
    </row>
    <row r="10" ht="31.2" spans="1:8">
      <c r="A10" s="17"/>
      <c r="B10" s="17"/>
      <c r="C10" s="18" t="s">
        <v>25</v>
      </c>
      <c r="D10" s="19" t="s">
        <v>26</v>
      </c>
      <c r="E10" s="20" t="s">
        <v>11</v>
      </c>
      <c r="F10" s="21">
        <v>2</v>
      </c>
      <c r="G10" s="20"/>
      <c r="H10" s="22"/>
    </row>
    <row r="11" ht="15.6" spans="1:7">
      <c r="A11" s="24">
        <v>3</v>
      </c>
      <c r="B11" s="24" t="s">
        <v>27</v>
      </c>
      <c r="C11" s="18" t="s">
        <v>28</v>
      </c>
      <c r="D11" s="19" t="s">
        <v>29</v>
      </c>
      <c r="E11" s="19" t="s">
        <v>30</v>
      </c>
      <c r="F11" s="20">
        <v>2</v>
      </c>
      <c r="G11" s="25">
        <f>SUM(F11:F34)</f>
        <v>32</v>
      </c>
    </row>
    <row r="12" ht="15.6" spans="1:7">
      <c r="A12" s="24"/>
      <c r="B12" s="24"/>
      <c r="C12" s="18"/>
      <c r="D12" s="19" t="s">
        <v>31</v>
      </c>
      <c r="E12" s="19" t="s">
        <v>32</v>
      </c>
      <c r="F12" s="20"/>
      <c r="G12" s="25"/>
    </row>
    <row r="13" ht="15.6" spans="1:7">
      <c r="A13" s="24"/>
      <c r="B13" s="24"/>
      <c r="C13" s="18"/>
      <c r="D13" s="19" t="s">
        <v>33</v>
      </c>
      <c r="E13" s="19" t="s">
        <v>34</v>
      </c>
      <c r="F13" s="20"/>
      <c r="G13" s="25"/>
    </row>
    <row r="14" ht="31.2" spans="1:7">
      <c r="A14" s="24"/>
      <c r="B14" s="24"/>
      <c r="C14" s="18"/>
      <c r="D14" s="19" t="s">
        <v>35</v>
      </c>
      <c r="E14" s="19" t="s">
        <v>36</v>
      </c>
      <c r="F14" s="20"/>
      <c r="G14" s="25"/>
    </row>
    <row r="15" ht="31.2" spans="1:7">
      <c r="A15" s="24"/>
      <c r="B15" s="24"/>
      <c r="C15" s="18" t="s">
        <v>37</v>
      </c>
      <c r="D15" s="19" t="s">
        <v>38</v>
      </c>
      <c r="E15" s="19" t="s">
        <v>39</v>
      </c>
      <c r="F15" s="20">
        <v>3</v>
      </c>
      <c r="G15" s="25"/>
    </row>
    <row r="16" ht="15.6" spans="1:7">
      <c r="A16" s="24"/>
      <c r="B16" s="24"/>
      <c r="C16" s="18"/>
      <c r="D16" s="19" t="s">
        <v>40</v>
      </c>
      <c r="E16" s="19" t="s">
        <v>41</v>
      </c>
      <c r="F16" s="20"/>
      <c r="G16" s="25"/>
    </row>
    <row r="17" ht="15.6" spans="1:7">
      <c r="A17" s="24"/>
      <c r="B17" s="24"/>
      <c r="C17" s="18"/>
      <c r="D17" s="19" t="s">
        <v>42</v>
      </c>
      <c r="E17" s="19" t="s">
        <v>43</v>
      </c>
      <c r="F17" s="20"/>
      <c r="G17" s="25"/>
    </row>
    <row r="18" ht="31.2" spans="1:7">
      <c r="A18" s="24"/>
      <c r="B18" s="24"/>
      <c r="C18" s="18"/>
      <c r="D18" s="19" t="s">
        <v>44</v>
      </c>
      <c r="E18" s="19" t="s">
        <v>45</v>
      </c>
      <c r="F18" s="20"/>
      <c r="G18" s="25"/>
    </row>
    <row r="19" ht="15.6" spans="1:7">
      <c r="A19" s="24"/>
      <c r="B19" s="24"/>
      <c r="C19" s="18" t="s">
        <v>46</v>
      </c>
      <c r="D19" s="19" t="s">
        <v>47</v>
      </c>
      <c r="E19" s="19" t="s">
        <v>48</v>
      </c>
      <c r="F19" s="20">
        <v>5</v>
      </c>
      <c r="G19" s="25"/>
    </row>
    <row r="20" ht="31.2" spans="1:7">
      <c r="A20" s="24"/>
      <c r="B20" s="24"/>
      <c r="C20" s="18"/>
      <c r="D20" s="19" t="s">
        <v>49</v>
      </c>
      <c r="E20" s="19" t="s">
        <v>50</v>
      </c>
      <c r="F20" s="20"/>
      <c r="G20" s="25"/>
    </row>
    <row r="21" ht="15.6" spans="1:7">
      <c r="A21" s="24"/>
      <c r="B21" s="24"/>
      <c r="C21" s="18"/>
      <c r="D21" s="19" t="s">
        <v>51</v>
      </c>
      <c r="E21" s="19" t="s">
        <v>52</v>
      </c>
      <c r="F21" s="20"/>
      <c r="G21" s="25"/>
    </row>
    <row r="22" ht="31.2" spans="1:7">
      <c r="A22" s="24"/>
      <c r="B22" s="24"/>
      <c r="C22" s="18" t="s">
        <v>53</v>
      </c>
      <c r="D22" s="19" t="s">
        <v>54</v>
      </c>
      <c r="E22" s="19" t="s">
        <v>55</v>
      </c>
      <c r="F22" s="20">
        <v>3</v>
      </c>
      <c r="G22" s="25"/>
    </row>
    <row r="23" ht="15.6" spans="1:7">
      <c r="A23" s="24"/>
      <c r="B23" s="24"/>
      <c r="C23" s="18"/>
      <c r="D23" s="19" t="s">
        <v>56</v>
      </c>
      <c r="E23" s="19" t="s">
        <v>57</v>
      </c>
      <c r="F23" s="20"/>
      <c r="G23" s="25"/>
    </row>
    <row r="24" ht="31.2" spans="1:7">
      <c r="A24" s="24"/>
      <c r="B24" s="24"/>
      <c r="C24" s="18"/>
      <c r="D24" s="19" t="s">
        <v>58</v>
      </c>
      <c r="E24" s="19" t="s">
        <v>59</v>
      </c>
      <c r="F24" s="20"/>
      <c r="G24" s="25"/>
    </row>
    <row r="25" ht="15.6" spans="1:7">
      <c r="A25" s="24"/>
      <c r="B25" s="24"/>
      <c r="C25" s="18"/>
      <c r="D25" s="19" t="s">
        <v>60</v>
      </c>
      <c r="E25" s="19" t="s">
        <v>61</v>
      </c>
      <c r="F25" s="20"/>
      <c r="G25" s="25"/>
    </row>
    <row r="26" ht="31.2" spans="1:7">
      <c r="A26" s="24"/>
      <c r="B26" s="24"/>
      <c r="C26" s="18" t="s">
        <v>62</v>
      </c>
      <c r="D26" s="19" t="s">
        <v>63</v>
      </c>
      <c r="E26" s="19" t="s">
        <v>64</v>
      </c>
      <c r="F26" s="20">
        <v>2</v>
      </c>
      <c r="G26" s="25"/>
    </row>
    <row r="27" ht="15.6" spans="1:7">
      <c r="A27" s="24"/>
      <c r="B27" s="24"/>
      <c r="C27" s="18"/>
      <c r="D27" s="19" t="s">
        <v>65</v>
      </c>
      <c r="E27" s="19" t="s">
        <v>66</v>
      </c>
      <c r="F27" s="20"/>
      <c r="G27" s="25"/>
    </row>
    <row r="28" ht="31.2" spans="1:7">
      <c r="A28" s="24"/>
      <c r="B28" s="24"/>
      <c r="C28" s="18"/>
      <c r="D28" s="19" t="s">
        <v>67</v>
      </c>
      <c r="E28" s="19" t="s">
        <v>68</v>
      </c>
      <c r="F28" s="20"/>
      <c r="G28" s="25"/>
    </row>
    <row r="29" ht="31.2" spans="1:7">
      <c r="A29" s="24"/>
      <c r="B29" s="24"/>
      <c r="C29" s="18" t="s">
        <v>69</v>
      </c>
      <c r="D29" s="19" t="s">
        <v>70</v>
      </c>
      <c r="E29" s="19" t="s">
        <v>71</v>
      </c>
      <c r="F29" s="20">
        <v>3</v>
      </c>
      <c r="G29" s="25"/>
    </row>
    <row r="30" ht="46.8" spans="1:7">
      <c r="A30" s="24"/>
      <c r="B30" s="24"/>
      <c r="C30" s="18" t="s">
        <v>72</v>
      </c>
      <c r="D30" s="19" t="s">
        <v>73</v>
      </c>
      <c r="E30" s="19" t="s">
        <v>74</v>
      </c>
      <c r="F30" s="20">
        <v>5</v>
      </c>
      <c r="G30" s="25"/>
    </row>
    <row r="31" ht="46.8" spans="1:7">
      <c r="A31" s="24"/>
      <c r="B31" s="24"/>
      <c r="C31" s="18" t="s">
        <v>75</v>
      </c>
      <c r="D31" s="19" t="s">
        <v>76</v>
      </c>
      <c r="E31" s="19" t="s">
        <v>77</v>
      </c>
      <c r="F31" s="20">
        <v>4</v>
      </c>
      <c r="G31" s="25"/>
    </row>
    <row r="32" ht="31.2" spans="1:7">
      <c r="A32" s="24"/>
      <c r="B32" s="24"/>
      <c r="C32" s="18" t="s">
        <v>78</v>
      </c>
      <c r="D32" s="19" t="s">
        <v>79</v>
      </c>
      <c r="E32" s="19" t="s">
        <v>80</v>
      </c>
      <c r="F32" s="20">
        <v>5</v>
      </c>
      <c r="G32" s="25"/>
    </row>
    <row r="33" ht="31.2" spans="1:7">
      <c r="A33" s="24"/>
      <c r="B33" s="24"/>
      <c r="C33" s="18"/>
      <c r="D33" s="19" t="s">
        <v>81</v>
      </c>
      <c r="E33" s="19" t="s">
        <v>82</v>
      </c>
      <c r="F33" s="20"/>
      <c r="G33" s="25"/>
    </row>
    <row r="34" ht="31.2" spans="1:7">
      <c r="A34" s="24"/>
      <c r="B34" s="24"/>
      <c r="C34" s="18"/>
      <c r="D34" s="19" t="s">
        <v>83</v>
      </c>
      <c r="E34" s="19" t="s">
        <v>84</v>
      </c>
      <c r="F34" s="20"/>
      <c r="G34" s="25"/>
    </row>
    <row r="35" ht="31.2" spans="1:7">
      <c r="A35" s="24">
        <v>4</v>
      </c>
      <c r="B35" s="24" t="s">
        <v>85</v>
      </c>
      <c r="C35" s="18" t="s">
        <v>86</v>
      </c>
      <c r="D35" s="19" t="s">
        <v>87</v>
      </c>
      <c r="E35" s="19" t="s">
        <v>88</v>
      </c>
      <c r="F35" s="20">
        <v>3</v>
      </c>
      <c r="G35" s="25">
        <f>SUM(F35:F52)</f>
        <v>15</v>
      </c>
    </row>
    <row r="36" ht="15.6" spans="1:7">
      <c r="A36" s="24"/>
      <c r="B36" s="24"/>
      <c r="C36" s="18" t="s">
        <v>89</v>
      </c>
      <c r="D36" s="19" t="s">
        <v>90</v>
      </c>
      <c r="E36" s="19" t="s">
        <v>91</v>
      </c>
      <c r="F36" s="20">
        <v>4</v>
      </c>
      <c r="G36" s="25"/>
    </row>
    <row r="37" ht="31.2" spans="1:7">
      <c r="A37" s="24"/>
      <c r="B37" s="24"/>
      <c r="C37" s="18"/>
      <c r="D37" s="19" t="s">
        <v>92</v>
      </c>
      <c r="E37" s="19" t="s">
        <v>93</v>
      </c>
      <c r="F37" s="20"/>
      <c r="G37" s="25"/>
    </row>
    <row r="38" ht="31.2" spans="1:7">
      <c r="A38" s="24"/>
      <c r="B38" s="24"/>
      <c r="C38" s="18"/>
      <c r="D38" s="19" t="s">
        <v>94</v>
      </c>
      <c r="E38" s="19" t="s">
        <v>95</v>
      </c>
      <c r="F38" s="20"/>
      <c r="G38" s="25"/>
    </row>
    <row r="39" ht="31.2" spans="1:7">
      <c r="A39" s="24"/>
      <c r="B39" s="24"/>
      <c r="C39" s="18"/>
      <c r="D39" s="19" t="s">
        <v>96</v>
      </c>
      <c r="E39" s="19" t="s">
        <v>97</v>
      </c>
      <c r="F39" s="20"/>
      <c r="G39" s="25"/>
    </row>
    <row r="40" ht="31.2" spans="1:7">
      <c r="A40" s="24"/>
      <c r="B40" s="24"/>
      <c r="C40" s="18"/>
      <c r="D40" s="19" t="s">
        <v>98</v>
      </c>
      <c r="E40" s="19" t="s">
        <v>99</v>
      </c>
      <c r="F40" s="20"/>
      <c r="G40" s="25"/>
    </row>
    <row r="41" ht="31.2" spans="1:7">
      <c r="A41" s="24"/>
      <c r="B41" s="24"/>
      <c r="C41" s="18" t="s">
        <v>100</v>
      </c>
      <c r="D41" s="19" t="s">
        <v>101</v>
      </c>
      <c r="E41" s="19" t="s">
        <v>102</v>
      </c>
      <c r="F41" s="20">
        <v>4</v>
      </c>
      <c r="G41" s="25"/>
    </row>
    <row r="42" ht="31.2" spans="1:7">
      <c r="A42" s="24"/>
      <c r="B42" s="24"/>
      <c r="C42" s="18"/>
      <c r="D42" s="19" t="s">
        <v>103</v>
      </c>
      <c r="E42" s="19" t="s">
        <v>104</v>
      </c>
      <c r="F42" s="20"/>
      <c r="G42" s="25"/>
    </row>
    <row r="43" ht="31.2" spans="1:7">
      <c r="A43" s="24"/>
      <c r="B43" s="24"/>
      <c r="C43" s="18"/>
      <c r="D43" s="19" t="s">
        <v>105</v>
      </c>
      <c r="E43" s="19" t="s">
        <v>106</v>
      </c>
      <c r="F43" s="20"/>
      <c r="G43" s="25"/>
    </row>
    <row r="44" ht="15.6" spans="1:7">
      <c r="A44" s="24"/>
      <c r="B44" s="24"/>
      <c r="C44" s="18"/>
      <c r="D44" s="19" t="s">
        <v>107</v>
      </c>
      <c r="E44" s="19" t="s">
        <v>108</v>
      </c>
      <c r="F44" s="20"/>
      <c r="G44" s="25"/>
    </row>
    <row r="45" ht="31.2" spans="1:7">
      <c r="A45" s="24"/>
      <c r="B45" s="24"/>
      <c r="C45" s="18"/>
      <c r="D45" s="19" t="s">
        <v>109</v>
      </c>
      <c r="E45" s="19" t="s">
        <v>110</v>
      </c>
      <c r="F45" s="20"/>
      <c r="G45" s="25"/>
    </row>
    <row r="46" ht="31.2" spans="1:7">
      <c r="A46" s="24"/>
      <c r="B46" s="24"/>
      <c r="C46" s="18"/>
      <c r="D46" s="19" t="s">
        <v>111</v>
      </c>
      <c r="E46" s="19" t="s">
        <v>112</v>
      </c>
      <c r="F46" s="20"/>
      <c r="G46" s="25"/>
    </row>
    <row r="47" ht="15.6" spans="1:7">
      <c r="A47" s="24"/>
      <c r="B47" s="24"/>
      <c r="C47" s="18" t="s">
        <v>113</v>
      </c>
      <c r="D47" s="19" t="s">
        <v>114</v>
      </c>
      <c r="E47" s="19" t="s">
        <v>115</v>
      </c>
      <c r="F47" s="20">
        <v>3</v>
      </c>
      <c r="G47" s="25"/>
    </row>
    <row r="48" ht="31.2" spans="1:7">
      <c r="A48" s="24"/>
      <c r="B48" s="24"/>
      <c r="C48" s="18"/>
      <c r="D48" s="19" t="s">
        <v>116</v>
      </c>
      <c r="E48" s="19" t="s">
        <v>117</v>
      </c>
      <c r="F48" s="20"/>
      <c r="G48" s="25"/>
    </row>
    <row r="49" ht="15.6" spans="1:7">
      <c r="A49" s="24"/>
      <c r="B49" s="24"/>
      <c r="C49" s="18"/>
      <c r="D49" s="19" t="s">
        <v>118</v>
      </c>
      <c r="E49" s="19" t="s">
        <v>119</v>
      </c>
      <c r="F49" s="20"/>
      <c r="G49" s="25"/>
    </row>
    <row r="50" ht="31.2" spans="1:7">
      <c r="A50" s="24"/>
      <c r="B50" s="24"/>
      <c r="C50" s="18"/>
      <c r="D50" s="19" t="s">
        <v>120</v>
      </c>
      <c r="E50" s="19" t="s">
        <v>121</v>
      </c>
      <c r="F50" s="20"/>
      <c r="G50" s="25"/>
    </row>
    <row r="51" ht="31.2" spans="1:7">
      <c r="A51" s="24"/>
      <c r="B51" s="24"/>
      <c r="C51" s="26" t="s">
        <v>122</v>
      </c>
      <c r="D51" s="19" t="s">
        <v>123</v>
      </c>
      <c r="E51" s="19" t="s">
        <v>124</v>
      </c>
      <c r="F51" s="21">
        <v>1</v>
      </c>
      <c r="G51" s="25"/>
    </row>
    <row r="52" ht="31.2" spans="1:7">
      <c r="A52" s="24"/>
      <c r="B52" s="24"/>
      <c r="C52" s="26"/>
      <c r="D52" s="19" t="s">
        <v>125</v>
      </c>
      <c r="E52" s="19" t="s">
        <v>126</v>
      </c>
      <c r="F52" s="21"/>
      <c r="G52" s="25"/>
    </row>
    <row r="53" ht="16.2" spans="1:7">
      <c r="A53" s="17">
        <v>5</v>
      </c>
      <c r="B53" s="17" t="s">
        <v>127</v>
      </c>
      <c r="C53" s="26" t="s">
        <v>128</v>
      </c>
      <c r="D53" s="25" t="s">
        <v>129</v>
      </c>
      <c r="E53" s="25" t="s">
        <v>11</v>
      </c>
      <c r="F53" s="21">
        <v>1</v>
      </c>
      <c r="G53" s="23">
        <f>SUM(F53:F57)</f>
        <v>5</v>
      </c>
    </row>
    <row r="54" ht="16.2" spans="1:7">
      <c r="A54" s="17"/>
      <c r="B54" s="17"/>
      <c r="C54" s="26" t="s">
        <v>130</v>
      </c>
      <c r="D54" s="25" t="s">
        <v>131</v>
      </c>
      <c r="E54" s="25" t="s">
        <v>11</v>
      </c>
      <c r="F54" s="21">
        <v>1</v>
      </c>
      <c r="G54" s="23"/>
    </row>
    <row r="55" ht="16.2" spans="1:7">
      <c r="A55" s="17"/>
      <c r="B55" s="17"/>
      <c r="C55" s="26" t="s">
        <v>132</v>
      </c>
      <c r="D55" s="25" t="s">
        <v>133</v>
      </c>
      <c r="E55" s="25" t="s">
        <v>11</v>
      </c>
      <c r="F55" s="21">
        <v>1</v>
      </c>
      <c r="G55" s="23"/>
    </row>
    <row r="56" ht="16.2" spans="1:7">
      <c r="A56" s="17"/>
      <c r="B56" s="17"/>
      <c r="C56" s="26" t="s">
        <v>134</v>
      </c>
      <c r="D56" s="25" t="s">
        <v>135</v>
      </c>
      <c r="E56" s="25" t="s">
        <v>11</v>
      </c>
      <c r="F56" s="21">
        <v>1</v>
      </c>
      <c r="G56" s="23"/>
    </row>
    <row r="57" ht="16.2" spans="1:7">
      <c r="A57" s="17"/>
      <c r="B57" s="17"/>
      <c r="C57" s="26" t="s">
        <v>136</v>
      </c>
      <c r="D57" s="25" t="s">
        <v>137</v>
      </c>
      <c r="E57" s="25" t="s">
        <v>11</v>
      </c>
      <c r="F57" s="21">
        <v>1</v>
      </c>
      <c r="G57" s="23"/>
    </row>
    <row r="58" ht="16.2" spans="1:7">
      <c r="A58" s="27">
        <v>6</v>
      </c>
      <c r="B58" s="27" t="s">
        <v>138</v>
      </c>
      <c r="C58" s="26" t="s">
        <v>139</v>
      </c>
      <c r="D58" s="25" t="s">
        <v>140</v>
      </c>
      <c r="E58" s="25"/>
      <c r="F58" s="21">
        <v>1</v>
      </c>
      <c r="G58" s="28">
        <f>SUM(F58:F62)</f>
        <v>7</v>
      </c>
    </row>
    <row r="59" ht="16.2" spans="1:7">
      <c r="A59" s="29"/>
      <c r="B59" s="29"/>
      <c r="C59" s="26" t="s">
        <v>141</v>
      </c>
      <c r="D59" s="25" t="s">
        <v>142</v>
      </c>
      <c r="E59" s="25"/>
      <c r="F59" s="21">
        <v>3</v>
      </c>
      <c r="G59" s="30"/>
    </row>
    <row r="60" ht="16.2" spans="1:7">
      <c r="A60" s="29"/>
      <c r="B60" s="29"/>
      <c r="C60" s="26" t="s">
        <v>143</v>
      </c>
      <c r="D60" s="25" t="s">
        <v>144</v>
      </c>
      <c r="E60" s="25" t="s">
        <v>11</v>
      </c>
      <c r="F60" s="21">
        <v>1</v>
      </c>
      <c r="G60" s="30"/>
    </row>
    <row r="61" ht="31.2" spans="1:7">
      <c r="A61" s="29"/>
      <c r="B61" s="29"/>
      <c r="C61" s="26" t="s">
        <v>145</v>
      </c>
      <c r="D61" s="25" t="s">
        <v>146</v>
      </c>
      <c r="E61" s="25" t="s">
        <v>11</v>
      </c>
      <c r="F61" s="21">
        <v>1</v>
      </c>
      <c r="G61" s="30"/>
    </row>
    <row r="62" ht="16.2" spans="1:7">
      <c r="A62" s="31"/>
      <c r="B62" s="31"/>
      <c r="C62" s="26" t="s">
        <v>147</v>
      </c>
      <c r="D62" s="25" t="s">
        <v>148</v>
      </c>
      <c r="E62" s="25" t="s">
        <v>11</v>
      </c>
      <c r="F62" s="21">
        <v>1</v>
      </c>
      <c r="G62" s="32"/>
    </row>
    <row r="63" ht="16.2" spans="1:7">
      <c r="A63" s="33"/>
      <c r="B63" s="33"/>
      <c r="C63" s="33"/>
      <c r="D63" s="33"/>
      <c r="E63" s="34" t="s">
        <v>149</v>
      </c>
      <c r="F63" s="34" t="s">
        <v>150</v>
      </c>
      <c r="G63" s="34" t="s">
        <v>151</v>
      </c>
    </row>
    <row r="64" ht="15.6" spans="1:7">
      <c r="A64" s="33"/>
      <c r="B64" s="33"/>
      <c r="C64" s="33"/>
      <c r="D64" s="33"/>
      <c r="E64" s="25">
        <v>500</v>
      </c>
      <c r="F64" s="21">
        <f>SUM(F3:F62)</f>
        <v>74</v>
      </c>
      <c r="G64" s="25">
        <f>E64*F64</f>
        <v>37000</v>
      </c>
    </row>
    <row r="65" ht="16.2" spans="1:7">
      <c r="A65" s="33"/>
      <c r="B65" s="33"/>
      <c r="C65" s="33"/>
      <c r="D65" s="33"/>
      <c r="E65" s="35" t="s">
        <v>152</v>
      </c>
      <c r="F65" s="35"/>
      <c r="G65" s="35"/>
    </row>
  </sheetData>
  <mergeCells count="40">
    <mergeCell ref="A1:G1"/>
    <mergeCell ref="E65:G65"/>
    <mergeCell ref="A3:A5"/>
    <mergeCell ref="A6:A10"/>
    <mergeCell ref="A11:A34"/>
    <mergeCell ref="A35:A52"/>
    <mergeCell ref="A53:A57"/>
    <mergeCell ref="A58:A62"/>
    <mergeCell ref="B3:B5"/>
    <mergeCell ref="B6:B10"/>
    <mergeCell ref="B11:B34"/>
    <mergeCell ref="B35:B52"/>
    <mergeCell ref="B53:B57"/>
    <mergeCell ref="B58:B62"/>
    <mergeCell ref="C11:C14"/>
    <mergeCell ref="C15:C18"/>
    <mergeCell ref="C19:C21"/>
    <mergeCell ref="C22:C25"/>
    <mergeCell ref="C26:C28"/>
    <mergeCell ref="C32:C34"/>
    <mergeCell ref="C36:C40"/>
    <mergeCell ref="C41:C46"/>
    <mergeCell ref="C47:C50"/>
    <mergeCell ref="C51:C52"/>
    <mergeCell ref="F11:F14"/>
    <mergeCell ref="F15:F18"/>
    <mergeCell ref="F19:F21"/>
    <mergeCell ref="F22:F25"/>
    <mergeCell ref="F26:F28"/>
    <mergeCell ref="F32:F34"/>
    <mergeCell ref="F36:F40"/>
    <mergeCell ref="F41:F46"/>
    <mergeCell ref="F47:F50"/>
    <mergeCell ref="F51:F52"/>
    <mergeCell ref="G3:G5"/>
    <mergeCell ref="G6:G10"/>
    <mergeCell ref="G11:G34"/>
    <mergeCell ref="G35:G52"/>
    <mergeCell ref="G53:G57"/>
    <mergeCell ref="G58:G6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7" sqref="C7:D7"/>
    </sheetView>
  </sheetViews>
  <sheetFormatPr defaultColWidth="8.88888888888889" defaultRowHeight="14.4" outlineLevelCol="3"/>
  <cols>
    <col min="1" max="1" width="13.4444444444444" customWidth="1"/>
    <col min="2" max="2" width="54.6666666666667" customWidth="1"/>
    <col min="3" max="3" width="13.2222222222222" customWidth="1"/>
  </cols>
  <sheetData>
    <row r="1" ht="24" customHeight="1" spans="1:4">
      <c r="A1" s="1" t="s">
        <v>153</v>
      </c>
      <c r="B1" s="1"/>
      <c r="C1" s="2"/>
      <c r="D1" s="2"/>
    </row>
    <row r="2" ht="15.6" spans="1:4">
      <c r="A2" s="3" t="s">
        <v>154</v>
      </c>
      <c r="B2" s="4" t="s">
        <v>155</v>
      </c>
      <c r="C2" s="2"/>
      <c r="D2" s="2"/>
    </row>
    <row r="3" ht="15.6" spans="1:4">
      <c r="A3" s="3" t="s">
        <v>156</v>
      </c>
      <c r="B3" s="4" t="s">
        <v>157</v>
      </c>
      <c r="C3" s="2"/>
      <c r="D3" s="2"/>
    </row>
    <row r="4" ht="15.6" spans="1:4">
      <c r="A4" s="3" t="s">
        <v>158</v>
      </c>
      <c r="B4" s="4" t="s">
        <v>159</v>
      </c>
      <c r="C4" s="2"/>
      <c r="D4" s="2"/>
    </row>
    <row r="5" ht="15.6" spans="1:4">
      <c r="A5" s="5" t="s">
        <v>160</v>
      </c>
      <c r="B5" s="4" t="s">
        <v>161</v>
      </c>
      <c r="C5" s="2"/>
      <c r="D5" s="2"/>
    </row>
    <row r="6" ht="15.6" spans="1:4">
      <c r="A6" s="3" t="s">
        <v>162</v>
      </c>
      <c r="B6" s="4" t="s">
        <v>163</v>
      </c>
      <c r="C6" s="2"/>
      <c r="D6" s="2"/>
    </row>
    <row r="7" ht="16.2" spans="1:4">
      <c r="A7" s="6"/>
      <c r="B7" s="2"/>
      <c r="C7" s="7" t="s">
        <v>151</v>
      </c>
      <c r="D7" s="7"/>
    </row>
    <row r="8" ht="15.6" spans="1:4">
      <c r="A8" s="8"/>
      <c r="B8" s="2"/>
      <c r="C8" s="9">
        <v>1065</v>
      </c>
      <c r="D8" s="10" t="s">
        <v>164</v>
      </c>
    </row>
    <row r="9" ht="15.6" spans="1:4">
      <c r="A9" s="11"/>
      <c r="C9" s="9">
        <v>3138.36</v>
      </c>
      <c r="D9" s="10" t="s">
        <v>165</v>
      </c>
    </row>
    <row r="10" spans="1:1">
      <c r="A10" s="12"/>
    </row>
    <row r="11" spans="1:1">
      <c r="A11" s="11"/>
    </row>
  </sheetData>
  <mergeCells count="2">
    <mergeCell ref="A1:B1"/>
    <mergeCell ref="C7:D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工作量估算和报价</vt:lpstr>
      <vt:lpstr>服务器配置推荐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 冰</cp:lastModifiedBy>
  <dcterms:created xsi:type="dcterms:W3CDTF">2023-05-12T11:15:00Z</dcterms:created>
  <dcterms:modified xsi:type="dcterms:W3CDTF">2024-09-23T03:24:07Z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